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SimAcc3Master" defaultThemeVersion="166925"/>
  <mc:AlternateContent xmlns:mc="http://schemas.openxmlformats.org/markup-compatibility/2006">
    <mc:Choice Requires="x15">
      <x15ac:absPath xmlns:x15ac="http://schemas.microsoft.com/office/spreadsheetml/2010/11/ac" url="D:\simacc_starter-main\"/>
    </mc:Choice>
  </mc:AlternateContent>
  <xr:revisionPtr revIDLastSave="0" documentId="13_ncr:1_{AC5E3C45-6B83-42C5-BFE5-2D04C1DF9704}" xr6:coauthVersionLast="47" xr6:coauthVersionMax="47" xr10:uidLastSave="{00000000-0000-0000-0000-000000000000}"/>
  <bookViews>
    <workbookView xWindow="-120" yWindow="-120" windowWidth="38640" windowHeight="21120" firstSheet="1" activeTab="12" xr2:uid="{69289B9C-27BD-418E-9A72-AE36FA43DF3D}"/>
  </bookViews>
  <sheets>
    <sheet name="_helper" sheetId="15" state="hidden" r:id="rId1"/>
    <sheet name="set" sheetId="1" r:id="rId2"/>
    <sheet name="head" sheetId="3" r:id="rId3"/>
    <sheet name="group" sheetId="2" r:id="rId4"/>
    <sheet name="sgroup" sheetId="5" r:id="rId5"/>
    <sheet name="seq" sheetId="8" r:id="rId6"/>
    <sheet name="cc" sheetId="9" r:id="rId7"/>
    <sheet name="sub" sheetId="10" r:id="rId8"/>
    <sheet name="ccf" sheetId="13" r:id="rId9"/>
    <sheet name="jb" sheetId="11" r:id="rId10"/>
    <sheet name="coa" sheetId="12" r:id="rId11"/>
    <sheet name="tax" sheetId="16" r:id="rId12"/>
    <sheet name="cos" sheetId="14" r:id="rId13"/>
  </sheets>
  <functionGroups builtInGroupCount="19"/>
  <definedNames>
    <definedName name="_ccf">tbCcf[Code]</definedName>
    <definedName name="_coa">tbCoa[Code]</definedName>
    <definedName name="_coatax">tbTax[Code]</definedName>
    <definedName name="_cosGroup">tbCOSG[code]</definedName>
    <definedName name="_group">tbGroup[Group]</definedName>
    <definedName name="_head">tbHead[Head]</definedName>
    <definedName name="_jb">tbBatch[Code]</definedName>
    <definedName name="_seq">tbSeq[Code]</definedName>
    <definedName name="_sgroup">tbSGroup[SubGroup]</definedName>
    <definedName name="cfgCFcos">set!$C$15</definedName>
    <definedName name="cfgCompAddress">set!$C$7</definedName>
    <definedName name="cfgCompName">set!$C$6</definedName>
    <definedName name="cfgEndDate">set!$C$11</definedName>
    <definedName name="cfgEquity">set!$C$14</definedName>
    <definedName name="cfgOpBal">set!$C$16</definedName>
    <definedName name="cfgStartDate">set!$C$10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4" l="1"/>
  <c r="B14" i="14"/>
  <c r="D14" i="14" s="1"/>
  <c r="G14" i="14"/>
  <c r="A13" i="14"/>
  <c r="B13" i="14"/>
  <c r="D13" i="14" s="1"/>
  <c r="G13" i="14"/>
  <c r="A12" i="14"/>
  <c r="B12" i="14"/>
  <c r="D12" i="14"/>
  <c r="G12" i="14"/>
  <c r="A11" i="14"/>
  <c r="B11" i="14"/>
  <c r="D11" i="14"/>
  <c r="G11" i="14"/>
  <c r="A10" i="14"/>
  <c r="B10" i="14"/>
  <c r="D10" i="14" s="1"/>
  <c r="G10" i="14"/>
  <c r="A9" i="14"/>
  <c r="B9" i="14"/>
  <c r="D9" i="14" s="1"/>
  <c r="G9" i="14"/>
  <c r="A8" i="14"/>
  <c r="B8" i="14"/>
  <c r="D8" i="14"/>
  <c r="G8" i="14"/>
  <c r="A7" i="14"/>
  <c r="B7" i="14"/>
  <c r="D7" i="14"/>
  <c r="G7" i="14"/>
  <c r="A6" i="14"/>
  <c r="B6" i="14"/>
  <c r="D6" i="14"/>
  <c r="G6" i="14"/>
  <c r="A5" i="14"/>
  <c r="B5" i="14"/>
  <c r="D5" i="14"/>
  <c r="G5" i="14"/>
  <c r="A4" i="14"/>
  <c r="B4" i="14"/>
  <c r="D4" i="14" s="1"/>
  <c r="G4" i="14"/>
  <c r="A3" i="14"/>
  <c r="B3" i="14"/>
  <c r="D3" i="14"/>
  <c r="G3" i="14"/>
  <c r="A2" i="14"/>
  <c r="B2" i="14"/>
  <c r="D2" i="14"/>
  <c r="G2" i="14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E2" i="10"/>
  <c r="E3" i="10"/>
  <c r="E4" i="10"/>
  <c r="E5" i="10"/>
  <c r="E6" i="10"/>
  <c r="E7" i="10"/>
  <c r="E8" i="10"/>
  <c r="P2" i="12"/>
  <c r="A9" i="12"/>
  <c r="A10" i="12"/>
  <c r="A11" i="12"/>
  <c r="S9" i="12"/>
  <c r="S10" i="12"/>
  <c r="J9" i="12"/>
  <c r="J10" i="12"/>
  <c r="J11" i="12"/>
  <c r="M9" i="12"/>
  <c r="M10" i="12"/>
  <c r="M11" i="12"/>
  <c r="P9" i="12"/>
  <c r="P10" i="12"/>
  <c r="P11" i="12"/>
  <c r="S11" i="12"/>
  <c r="S2" i="12"/>
  <c r="S3" i="12"/>
  <c r="S4" i="12"/>
  <c r="S5" i="12"/>
  <c r="S6" i="12"/>
  <c r="S7" i="12"/>
  <c r="S8" i="12"/>
  <c r="A5" i="11"/>
  <c r="A6" i="11"/>
  <c r="A7" i="11"/>
  <c r="A8" i="11"/>
  <c r="A9" i="11"/>
  <c r="A5" i="13"/>
  <c r="A6" i="13"/>
  <c r="A7" i="13"/>
  <c r="A8" i="13"/>
  <c r="A9" i="13"/>
  <c r="A10" i="13"/>
  <c r="A11" i="13"/>
  <c r="A12" i="13"/>
  <c r="A13" i="13"/>
  <c r="A14" i="13"/>
  <c r="A5" i="10"/>
  <c r="A6" i="10"/>
  <c r="A7" i="10"/>
  <c r="A8" i="10"/>
  <c r="A5" i="9"/>
  <c r="A6" i="9"/>
  <c r="F5" i="9"/>
  <c r="F6" i="9"/>
  <c r="A4" i="8"/>
  <c r="A5" i="5"/>
  <c r="A6" i="5"/>
  <c r="A7" i="5"/>
  <c r="A8" i="5"/>
  <c r="A9" i="5"/>
  <c r="A10" i="5"/>
  <c r="A11" i="5"/>
  <c r="A12" i="5"/>
  <c r="A5" i="2"/>
  <c r="A6" i="2"/>
  <c r="A7" i="2"/>
  <c r="A8" i="2"/>
  <c r="A9" i="2"/>
  <c r="A10" i="2"/>
  <c r="D5" i="2"/>
  <c r="D6" i="2"/>
  <c r="D7" i="2"/>
  <c r="D8" i="2"/>
  <c r="D9" i="2"/>
  <c r="D10" i="2"/>
  <c r="F4" i="9"/>
  <c r="F3" i="9"/>
  <c r="F2" i="9"/>
  <c r="D2" i="2"/>
  <c r="A2" i="13"/>
  <c r="A3" i="13"/>
  <c r="A4" i="13"/>
  <c r="A8" i="16"/>
  <c r="A7" i="16"/>
  <c r="A6" i="16"/>
  <c r="A5" i="16"/>
  <c r="A4" i="16"/>
  <c r="A2" i="16"/>
  <c r="A3" i="16"/>
  <c r="A4" i="9"/>
  <c r="A3" i="9"/>
  <c r="A2" i="5"/>
  <c r="A8" i="12"/>
  <c r="J8" i="12"/>
  <c r="P8" i="12"/>
  <c r="A2" i="8"/>
  <c r="P5" i="12"/>
  <c r="P3" i="12"/>
  <c r="P4" i="12"/>
  <c r="P6" i="12"/>
  <c r="P7" i="12"/>
  <c r="A10" i="3"/>
  <c r="A2" i="11"/>
  <c r="A3" i="11"/>
  <c r="A4" i="11"/>
  <c r="J2" i="12" l="1"/>
  <c r="J3" i="12"/>
  <c r="J4" i="12"/>
  <c r="J5" i="12"/>
  <c r="J6" i="12"/>
  <c r="J7" i="12"/>
  <c r="A2" i="12"/>
  <c r="A3" i="12"/>
  <c r="A4" i="12"/>
  <c r="A5" i="12"/>
  <c r="A6" i="12"/>
  <c r="A7" i="12"/>
  <c r="A4" i="10"/>
  <c r="A3" i="10"/>
  <c r="A2" i="10"/>
  <c r="A2" i="9" l="1"/>
  <c r="A3" i="8"/>
  <c r="A3" i="5"/>
  <c r="A4" i="5"/>
  <c r="D3" i="2" l="1"/>
  <c r="D4" i="2"/>
  <c r="A2" i="2"/>
  <c r="A3" i="2"/>
  <c r="A4" i="2"/>
  <c r="A2" i="3"/>
  <c r="A3" i="3"/>
  <c r="A4" i="3"/>
  <c r="A5" i="3"/>
  <c r="A6" i="3"/>
  <c r="A7" i="3"/>
  <c r="A8" i="3"/>
  <c r="A9" i="3"/>
  <c r="A11" i="3"/>
  <c r="M8" i="12" l="1"/>
  <c r="M2" i="12"/>
  <c r="M3" i="12"/>
  <c r="M4" i="12"/>
  <c r="M5" i="12"/>
  <c r="M6" i="12"/>
  <c r="M7" i="12"/>
</calcChain>
</file>

<file path=xl/sharedStrings.xml><?xml version="1.0" encoding="utf-8"?>
<sst xmlns="http://schemas.openxmlformats.org/spreadsheetml/2006/main" count="699" uniqueCount="304">
  <si>
    <t>Accounting Period</t>
  </si>
  <si>
    <t>Group</t>
  </si>
  <si>
    <t>Report</t>
  </si>
  <si>
    <t>BS</t>
  </si>
  <si>
    <t>IS</t>
  </si>
  <si>
    <t>#</t>
  </si>
  <si>
    <t>Rep</t>
  </si>
  <si>
    <t>Head</t>
  </si>
  <si>
    <t>SubGroup</t>
  </si>
  <si>
    <t>Code</t>
  </si>
  <si>
    <t>Seqment</t>
  </si>
  <si>
    <t>Cost Center</t>
  </si>
  <si>
    <t>Name</t>
  </si>
  <si>
    <t>Coa</t>
  </si>
  <si>
    <t>Type</t>
  </si>
  <si>
    <t>Address</t>
  </si>
  <si>
    <t>WA</t>
  </si>
  <si>
    <t>City</t>
  </si>
  <si>
    <t>Email</t>
  </si>
  <si>
    <t>Contact</t>
  </si>
  <si>
    <t>Account Name</t>
  </si>
  <si>
    <t>Contra</t>
  </si>
  <si>
    <t>Status</t>
  </si>
  <si>
    <t>Remarks</t>
  </si>
  <si>
    <t>Active</t>
  </si>
  <si>
    <t>Number</t>
  </si>
  <si>
    <t>Norm</t>
  </si>
  <si>
    <t>Sgroup</t>
  </si>
  <si>
    <t>Description</t>
  </si>
  <si>
    <t>subsidiary</t>
  </si>
  <si>
    <t>Sort</t>
  </si>
  <si>
    <t>Company name:</t>
  </si>
  <si>
    <t>Company address:</t>
  </si>
  <si>
    <t>Start:</t>
  </si>
  <si>
    <t>End:</t>
  </si>
  <si>
    <t>Zero</t>
  </si>
  <si>
    <t>SeqCode</t>
  </si>
  <si>
    <t>Segment</t>
  </si>
  <si>
    <t>Budget</t>
  </si>
  <si>
    <t>#void</t>
  </si>
  <si>
    <t>#PHANTOM</t>
  </si>
  <si>
    <t>HELPER</t>
  </si>
  <si>
    <t>Ori Name</t>
  </si>
  <si>
    <t>#na</t>
  </si>
  <si>
    <t>code</t>
  </si>
  <si>
    <t>cc</t>
  </si>
  <si>
    <t>sub</t>
  </si>
  <si>
    <t>cost center / business segment</t>
  </si>
  <si>
    <t>subsidiary / partner</t>
  </si>
  <si>
    <t>cf</t>
  </si>
  <si>
    <t>cash flow</t>
  </si>
  <si>
    <t>CosGr</t>
  </si>
  <si>
    <t>CosNum</t>
  </si>
  <si>
    <t>#vd</t>
  </si>
  <si>
    <t>notes</t>
  </si>
  <si>
    <t>group name</t>
  </si>
  <si>
    <t>cost center</t>
  </si>
  <si>
    <t>The best spreadsheet based accounting application</t>
  </si>
  <si>
    <t>Company Info</t>
  </si>
  <si>
    <t>KEWAJIBAN</t>
  </si>
  <si>
    <t>EKUITAS</t>
  </si>
  <si>
    <t>PENDAPATAN</t>
  </si>
  <si>
    <t>HPP</t>
  </si>
  <si>
    <t>BEBAN</t>
  </si>
  <si>
    <t>KEUNTUNGAN</t>
  </si>
  <si>
    <t>KERUGIAN</t>
  </si>
  <si>
    <t>AKTIVA</t>
  </si>
  <si>
    <t>OTHER</t>
  </si>
  <si>
    <t>Equity Account</t>
  </si>
  <si>
    <t>RE</t>
  </si>
  <si>
    <t>Other Settings</t>
  </si>
  <si>
    <t>note: masukkan kode akun untuk modal di sini</t>
  </si>
  <si>
    <t>develop by Cheries, 0823-4734-2652 (What's App)</t>
  </si>
  <si>
    <t>Tax</t>
  </si>
  <si>
    <t>Idx</t>
  </si>
  <si>
    <t>SimAcc v3 - Master</t>
  </si>
  <si>
    <t>Cf</t>
  </si>
  <si>
    <t>IsCF</t>
  </si>
  <si>
    <t>kode akun untuk modal / saham pemilik</t>
  </si>
  <si>
    <t>Cash Flow CosGr</t>
  </si>
  <si>
    <t>cash flow group for account to be treated as Cash Flow</t>
  </si>
  <si>
    <t>Batch Opening Balance</t>
  </si>
  <si>
    <t>batch code for opening balance journal</t>
  </si>
  <si>
    <t>note: batch dengan kode "tax" harus di input untuk jurnal koreksi fiskal</t>
  </si>
  <si>
    <t>AKTIVA LANCAR</t>
  </si>
  <si>
    <t>AKTIVA TETAP</t>
  </si>
  <si>
    <t>KEWAJIBAN LANCAR</t>
  </si>
  <si>
    <t>KEWAJIBAN JK. PANJANG</t>
  </si>
  <si>
    <t>MODAL</t>
  </si>
  <si>
    <t>#phantom</t>
  </si>
  <si>
    <t>Kas &amp; Setara Kas</t>
  </si>
  <si>
    <t>Deposito dan Sekuritas</t>
  </si>
  <si>
    <t>Piutang</t>
  </si>
  <si>
    <t>Persediaan</t>
  </si>
  <si>
    <t>Inventaris Kantor</t>
  </si>
  <si>
    <t>Kendaraan</t>
  </si>
  <si>
    <t>Mesin &amp; Peralatan</t>
  </si>
  <si>
    <t>Tanah &amp; Bangunan</t>
  </si>
  <si>
    <t>Hutang</t>
  </si>
  <si>
    <t>Modal, Prive, Laba</t>
  </si>
  <si>
    <t>Lainnya</t>
  </si>
  <si>
    <t>all</t>
  </si>
  <si>
    <t>All</t>
  </si>
  <si>
    <t>dsys</t>
  </si>
  <si>
    <t>Disain Sistem</t>
  </si>
  <si>
    <t>kons</t>
  </si>
  <si>
    <t>Konsultasi</t>
  </si>
  <si>
    <t>#cc_void</t>
  </si>
  <si>
    <t>#Void Cost Center</t>
  </si>
  <si>
    <t>out</t>
  </si>
  <si>
    <t>penOp</t>
  </si>
  <si>
    <t>Pendapatan Operasional</t>
  </si>
  <si>
    <t>in</t>
  </si>
  <si>
    <t>bebSdm</t>
  </si>
  <si>
    <t>Beban Sumber Daya Manusia</t>
  </si>
  <si>
    <t>bebOps</t>
  </si>
  <si>
    <t>Beban Operasional Lainnya</t>
  </si>
  <si>
    <t>others</t>
  </si>
  <si>
    <t>Lain-lain</t>
  </si>
  <si>
    <t>sukja</t>
  </si>
  <si>
    <t>PT. Sukses Jaya</t>
  </si>
  <si>
    <t>ar</t>
  </si>
  <si>
    <t>supsup</t>
  </si>
  <si>
    <t>CV. Super Supply</t>
  </si>
  <si>
    <t>hut.beli</t>
  </si>
  <si>
    <t>dagsej</t>
  </si>
  <si>
    <t>UD. Dagang Sejahtera</t>
  </si>
  <si>
    <t>majuber</t>
  </si>
  <si>
    <t>PT. Maju Bersama</t>
  </si>
  <si>
    <t>bank_xx</t>
  </si>
  <si>
    <t>Bank XX</t>
  </si>
  <si>
    <t>hut.bank</t>
  </si>
  <si>
    <t>suptrans</t>
  </si>
  <si>
    <t>UD. Super Transport</t>
  </si>
  <si>
    <t>#sub_void</t>
  </si>
  <si>
    <t>#Void Subsidiary</t>
  </si>
  <si>
    <t>Customer</t>
  </si>
  <si>
    <t>Vendor</t>
  </si>
  <si>
    <t>Creditor</t>
  </si>
  <si>
    <t>#Void</t>
  </si>
  <si>
    <t>ib</t>
  </si>
  <si>
    <t>#Interbank</t>
  </si>
  <si>
    <t>OTHERS</t>
  </si>
  <si>
    <t>inflow</t>
  </si>
  <si>
    <t>Transaksi antar bank dan kas</t>
  </si>
  <si>
    <t>#cash</t>
  </si>
  <si>
    <t>Opening Balance</t>
  </si>
  <si>
    <t>Saldo awal</t>
  </si>
  <si>
    <t>in.cust</t>
  </si>
  <si>
    <t>Penerimaan Kas Dari Customer</t>
  </si>
  <si>
    <t>OPERATING</t>
  </si>
  <si>
    <t>out.kary</t>
  </si>
  <si>
    <t>Pembayaran Gaji Karyawan</t>
  </si>
  <si>
    <t>outflow</t>
  </si>
  <si>
    <t>out.vend</t>
  </si>
  <si>
    <t>Pembayaran Kas Ke Vendor</t>
  </si>
  <si>
    <t>gov</t>
  </si>
  <si>
    <t>Pembayaran (Penerimaan) Ke Pemerintah</t>
  </si>
  <si>
    <t>io.ops.lain</t>
  </si>
  <si>
    <t>Penerimaan (Pembayaran) Operasional Lainnya</t>
  </si>
  <si>
    <t>kendaraan</t>
  </si>
  <si>
    <t>Pembayaran Untuk Perolehan Kendaraan</t>
  </si>
  <si>
    <t>INVESTING</t>
  </si>
  <si>
    <t>Kas keluar untuk perolehan kendaraan</t>
  </si>
  <si>
    <t>io.inv.lain</t>
  </si>
  <si>
    <t>Penerimaan (Pembayaran) Investasi Lainnya</t>
  </si>
  <si>
    <t>io.bank</t>
  </si>
  <si>
    <t>Penerimaan (Pelunasan) Pinjaman Dari Bank / Creditor</t>
  </si>
  <si>
    <t>FINANCING</t>
  </si>
  <si>
    <t>io.owner</t>
  </si>
  <si>
    <t>Setoran Dari (Ke) Owner / Pemegang Saham</t>
  </si>
  <si>
    <t>Setoran modal dari owner</t>
  </si>
  <si>
    <t>io.fin.lain</t>
  </si>
  <si>
    <t>Penerimaan (Pembayaran) Financing Lainnya</t>
  </si>
  <si>
    <t>#cf_void</t>
  </si>
  <si>
    <t>#Void Cash Flow</t>
  </si>
  <si>
    <t>#VOID</t>
  </si>
  <si>
    <t>Void cash flow</t>
  </si>
  <si>
    <t>kas</t>
  </si>
  <si>
    <t>Jurnal penerimaan dan pengeluaran Kas Kantor</t>
  </si>
  <si>
    <t>Cash &amp; bank</t>
  </si>
  <si>
    <t>comm</t>
  </si>
  <si>
    <t>bank</t>
  </si>
  <si>
    <t>Jurnal penerimaan dan pengeluaran Bank</t>
  </si>
  <si>
    <t>sales</t>
  </si>
  <si>
    <t>Jurnal penjualan kredit</t>
  </si>
  <si>
    <t>Sales &amp; purchase</t>
  </si>
  <si>
    <t>purchase</t>
  </si>
  <si>
    <t>Jurnal pembelian kredit</t>
  </si>
  <si>
    <t>opbal</t>
  </si>
  <si>
    <t>Others</t>
  </si>
  <si>
    <t>general</t>
  </si>
  <si>
    <t>Jurnal umum</t>
  </si>
  <si>
    <t>adjust</t>
  </si>
  <si>
    <t>Jurnal penyesuaian</t>
  </si>
  <si>
    <t>tax</t>
  </si>
  <si>
    <t>Jurnal koreksi fiskal pajak</t>
  </si>
  <si>
    <t>Special</t>
  </si>
  <si>
    <t>fiscal</t>
  </si>
  <si>
    <t>modal</t>
  </si>
  <si>
    <t>Hutang Pajak</t>
  </si>
  <si>
    <t>#Koreksi Fiskal</t>
  </si>
  <si>
    <t>#Ikhtisar Rugi Laba</t>
  </si>
  <si>
    <t>#Phantom Account</t>
  </si>
  <si>
    <t>My company address</t>
  </si>
  <si>
    <t>My Company Name</t>
  </si>
  <si>
    <t>Kas dan Setara Kas</t>
  </si>
  <si>
    <t>Aset Lancar</t>
  </si>
  <si>
    <t>Aset</t>
  </si>
  <si>
    <t>Neraca</t>
  </si>
  <si>
    <t>PENYERTAAN  MODAL</t>
  </si>
  <si>
    <t>Piutang Usaha - Pihak Ketiga</t>
  </si>
  <si>
    <t>Piutang Usaha - Pihak Hubungan Istimewa</t>
  </si>
  <si>
    <t>Piutang Lainnya - Pihak Ketiga</t>
  </si>
  <si>
    <t>Piutang Lainnya - Pihak Hubungan Istimewa</t>
  </si>
  <si>
    <t>Asset Kontrak</t>
  </si>
  <si>
    <t>Cadangan Kerugian Penurunan Nilai - Aset Lancar</t>
  </si>
  <si>
    <t>Pajak Dibayar di Muka</t>
  </si>
  <si>
    <t>Biaya Dibayar di Muka</t>
  </si>
  <si>
    <t>Pendapatan Diterima di Muka</t>
  </si>
  <si>
    <t>Aset Lancar Lainnya</t>
  </si>
  <si>
    <t>Piutang Jangka Panjang</t>
  </si>
  <si>
    <t>Aset Tidak Lancar</t>
  </si>
  <si>
    <t>Properti Investasi</t>
  </si>
  <si>
    <t>Tanah dan Bangunan</t>
  </si>
  <si>
    <t>Akum. Penyu. Tanah dan Bangunan</t>
  </si>
  <si>
    <t>Aset Tetap Lainnya</t>
  </si>
  <si>
    <t>Akum. Penyu. Aset Tetap Lainnya</t>
  </si>
  <si>
    <t>Aset Hak Guna</t>
  </si>
  <si>
    <t>Dikurangi: Aset Hak Guna</t>
  </si>
  <si>
    <t>Investasi pada Perusahaan Asosiasi, Ventura dan Anak Perusahaan</t>
  </si>
  <si>
    <t>Investasi Jangka Panjang Lainnya</t>
  </si>
  <si>
    <t>Aset Tak Berwujud</t>
  </si>
  <si>
    <t>Akum. Amortisasi Aset Tak Berwujud</t>
  </si>
  <si>
    <t>Aktiva Pajak Tangguhan</t>
  </si>
  <si>
    <t>Klaim atas pengembalian pajak</t>
  </si>
  <si>
    <t>Cadangan Kerugian Penurunan Nilai - Aset Tidak Lancar</t>
  </si>
  <si>
    <t>Aset Tidak Lancar Lainnya</t>
  </si>
  <si>
    <t>Hutang Usaha -Pihak Ketiga</t>
  </si>
  <si>
    <t>Liabilitas Jangka Pendek</t>
  </si>
  <si>
    <t>Liabilitas</t>
  </si>
  <si>
    <t>Hutang Usaha - Pihak Hubungan Istimewa</t>
  </si>
  <si>
    <t>Hutang Bunga</t>
  </si>
  <si>
    <t>Liabilitas Kontrak</t>
  </si>
  <si>
    <t xml:space="preserve">Liabilitas Sewa Jangka Pendek </t>
  </si>
  <si>
    <t>Hutang Dividen</t>
  </si>
  <si>
    <t>Beban yang Masih Harus Dibayar</t>
  </si>
  <si>
    <t>Hutang Bank Jangka Pendek</t>
  </si>
  <si>
    <t>Bagian Lancar dari Hutang Jangka Panjang</t>
  </si>
  <si>
    <t>Liabilitas Jangka Pendek Lainnya</t>
  </si>
  <si>
    <t>Hutang Bank Jangka Panjang</t>
  </si>
  <si>
    <t>Liabilitas Jangka Panjang</t>
  </si>
  <si>
    <t>Hutang Jangka Panjang Pihak Ketiga</t>
  </si>
  <si>
    <t>Hutang Jangka Panjang Pihak Hubungan Istimewa</t>
  </si>
  <si>
    <t>Liabilitas Sewa Jangka Panjang</t>
  </si>
  <si>
    <t>Liabilitas Imbalan Kerja</t>
  </si>
  <si>
    <t>Liabilitas Pajak Tangguhan</t>
  </si>
  <si>
    <t>Liabilitas Jangka Panjang Lainnya</t>
  </si>
  <si>
    <t>Modal Saham</t>
  </si>
  <si>
    <t>Equity</t>
  </si>
  <si>
    <t>Ekuitas</t>
  </si>
  <si>
    <t>Tambahan Modal Disetor</t>
  </si>
  <si>
    <t>Laba Ditahan</t>
  </si>
  <si>
    <t>Pendapatan Komprehensif Lainnya</t>
  </si>
  <si>
    <t>Ekuitas Lainnya</t>
  </si>
  <si>
    <t>Penjualan Domestik</t>
  </si>
  <si>
    <t>Penjualan</t>
  </si>
  <si>
    <t>Laba (Rugi) Sebelum Pajak</t>
  </si>
  <si>
    <t>Rugi Laba</t>
  </si>
  <si>
    <t>Penjualan Ekspor</t>
  </si>
  <si>
    <t>Retur Penjualan</t>
  </si>
  <si>
    <t>Potongan Penjualan</t>
  </si>
  <si>
    <t>Penyesuaian Penjualan</t>
  </si>
  <si>
    <t>Pembelian Persediaan</t>
  </si>
  <si>
    <t>Beban Pengangkutan</t>
  </si>
  <si>
    <t>Persediaan Awal</t>
  </si>
  <si>
    <t>Persediaan Akhir</t>
  </si>
  <si>
    <t>Pendapatan Lainnya</t>
  </si>
  <si>
    <t>Pendapatan</t>
  </si>
  <si>
    <t>Gaji, Tunjangan, Bonus, Honor, THR, dsb</t>
  </si>
  <si>
    <t>Beban Usaha</t>
  </si>
  <si>
    <t>Beban Imbalan Kerja Lainnya</t>
  </si>
  <si>
    <t>Beban Transportasi</t>
  </si>
  <si>
    <t>Beban Penyusutan dan Amortisasi</t>
  </si>
  <si>
    <t>Beban Sewa</t>
  </si>
  <si>
    <t>Beban Bunga</t>
  </si>
  <si>
    <t>Beban Sehubungan dengan Jasa</t>
  </si>
  <si>
    <t>Beban Penurunan Nilai</t>
  </si>
  <si>
    <t>Beban Royalti</t>
  </si>
  <si>
    <t>Beban Pemasaran dan Promosi</t>
  </si>
  <si>
    <t>Beban Entertainment</t>
  </si>
  <si>
    <t>Beban Umum dan Administrasi</t>
  </si>
  <si>
    <t>Beban Usaha Lainnya</t>
  </si>
  <si>
    <t>Keuntungan Selisih Kurs</t>
  </si>
  <si>
    <t>Pendapatan Non Usaha</t>
  </si>
  <si>
    <t>Keuntungan Penjualan Asset</t>
  </si>
  <si>
    <t>Pendapatan Bunga</t>
  </si>
  <si>
    <t>Pendapatan Non Usaha Lainnya</t>
  </si>
  <si>
    <t>Kerugian Penjualan Asset</t>
  </si>
  <si>
    <t>Beban Non Usaha</t>
  </si>
  <si>
    <t>Sumbangan</t>
  </si>
  <si>
    <t>Kerugian Selisih Kurs</t>
  </si>
  <si>
    <t>Beban Non Usaha Lainnya</t>
  </si>
  <si>
    <t>Helper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</si>
</sst>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 mmm\ yyyy"/>
    <numFmt numFmtId="165" formatCode="000"/>
    <numFmt numFmtId="166" formatCode="00"/>
    <numFmt numFmtId="167" formatCode="0\-000"/>
  </numFmts>
  <fonts count="11" x14ac:knownFonts="1">
    <font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3" tint="0.59999389629810485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b/>
      <sz val="16"/>
      <color theme="3" tint="0.59999389629810485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9"/>
      <color theme="5" tint="0.39997558519241921"/>
      <name val="Calibri"/>
      <family val="2"/>
      <scheme val="minor"/>
    </font>
    <font>
      <sz val="10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/>
    <xf numFmtId="165" fontId="1" fillId="0" borderId="0" xfId="0" applyNumberFormat="1" applyFont="1"/>
    <xf numFmtId="0" fontId="1" fillId="0" borderId="0" xfId="0" applyFont="1"/>
    <xf numFmtId="165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5" fillId="3" borderId="0" xfId="0" applyFont="1" applyFill="1"/>
    <xf numFmtId="0" fontId="6" fillId="2" borderId="1" xfId="0" applyFont="1" applyFill="1" applyBorder="1"/>
    <xf numFmtId="164" fontId="6" fillId="2" borderId="1" xfId="0" applyNumberFormat="1" applyFont="1" applyFill="1" applyBorder="1" applyAlignment="1">
      <alignment horizontal="left"/>
    </xf>
    <xf numFmtId="0" fontId="4" fillId="3" borderId="0" xfId="0" applyFont="1" applyFill="1" applyAlignment="1">
      <alignment vertical="top"/>
    </xf>
    <xf numFmtId="0" fontId="2" fillId="3" borderId="1" xfId="0" applyFont="1" applyFill="1" applyBorder="1" applyAlignment="1">
      <alignment horizontal="righ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1" fillId="0" borderId="0" xfId="0" applyFont="1" applyAlignment="1">
      <alignment horizontal="center"/>
    </xf>
    <xf numFmtId="165" fontId="7" fillId="0" borderId="0" xfId="0" applyNumberFormat="1" applyFont="1"/>
    <xf numFmtId="0" fontId="8" fillId="3" borderId="0" xfId="0" applyFont="1" applyFill="1"/>
    <xf numFmtId="0" fontId="9" fillId="3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0" fontId="10" fillId="0" borderId="0" xfId="0" applyFont="1"/>
    <xf numFmtId="0" fontId="7" fillId="0" borderId="0" xfId="0" applyFont="1"/>
  </cellXfs>
  <cellStyles count="1">
    <cellStyle name="Normal" xfId="0" builtinId="0"/>
  </cellStyles>
  <dxfs count="73">
    <dxf>
      <numFmt numFmtId="165" formatCode="000"/>
    </dxf>
    <dxf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1" tint="0.499984740745262"/>
      </font>
      <fill>
        <patternFill>
          <bgColor theme="0" tint="-0.14996795556505021"/>
        </patternFill>
      </fill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numFmt numFmtId="167" formatCode="0\-000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/>
        <color theme="1" tint="0.34998626667073579"/>
      </font>
      <fill>
        <patternFill>
          <bgColor rgb="FFD9EBEB"/>
        </patternFill>
      </fill>
    </dxf>
    <dxf>
      <font>
        <b val="0"/>
      </font>
      <numFmt numFmtId="166" formatCode="0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Calibri"/>
        <family val="2"/>
        <scheme val="minor"/>
      </font>
      <numFmt numFmtId="0" formatCode="General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numFmt numFmtId="0" formatCode="General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fill>
        <patternFill>
          <bgColor rgb="FFDFF1A5"/>
        </patternFill>
      </fill>
    </dxf>
    <dxf>
      <font>
        <b/>
        <i val="0"/>
        <color rgb="FFE9F8BA"/>
      </font>
      <fill>
        <patternFill>
          <bgColor rgb="FF728F4F"/>
        </patternFill>
      </fill>
    </dxf>
    <dxf>
      <font>
        <b/>
        <i val="0"/>
        <color rgb="FFECF9C3"/>
      </font>
      <fill>
        <patternFill>
          <bgColor rgb="FF4B5F27"/>
        </patternFill>
      </fill>
    </dxf>
    <dxf>
      <fill>
        <patternFill>
          <bgColor rgb="FFF5FDD7"/>
        </patternFill>
      </fill>
      <border>
        <left style="thin">
          <color rgb="FFA1C674"/>
        </left>
        <right style="thin">
          <color rgb="FFA1C674"/>
        </right>
        <top style="thin">
          <color rgb="FFA1C674"/>
        </top>
        <bottom style="thin">
          <color rgb="FFA1C674"/>
        </bottom>
        <vertical style="thin">
          <color rgb="FFA1C674"/>
        </vertical>
        <horizontal style="thin">
          <color rgb="FFA1C674"/>
        </horizontal>
      </border>
    </dxf>
    <dxf>
      <fill>
        <patternFill>
          <bgColor rgb="FFF3C3DE"/>
        </patternFill>
      </fill>
    </dxf>
    <dxf>
      <font>
        <b/>
        <i val="0"/>
        <color rgb="FFF6D2E7"/>
      </font>
      <fill>
        <patternFill>
          <bgColor rgb="FF9B3F76"/>
        </patternFill>
      </fill>
    </dxf>
    <dxf>
      <font>
        <b/>
        <i val="0"/>
        <color rgb="FFFCE4F7"/>
      </font>
      <fill>
        <patternFill>
          <bgColor rgb="FF8A1A5A"/>
        </patternFill>
      </fill>
    </dxf>
    <dxf>
      <fill>
        <patternFill>
          <bgColor rgb="FFFCE4ED"/>
        </patternFill>
      </fill>
      <border>
        <left style="thin">
          <color rgb="FFDEACCD"/>
        </left>
        <right style="thin">
          <color rgb="FFDEACCD"/>
        </right>
        <top style="thin">
          <color rgb="FFDEACCD"/>
        </top>
        <bottom style="thin">
          <color rgb="FFDEACCD"/>
        </bottom>
        <vertical style="thin">
          <color rgb="FFDEACCD"/>
        </vertical>
        <horizontal style="thin">
          <color rgb="FFDEACCD"/>
        </horizontal>
      </border>
    </dxf>
    <dxf>
      <fill>
        <patternFill>
          <bgColor rgb="FFEFC4F2"/>
        </patternFill>
      </fill>
    </dxf>
    <dxf>
      <font>
        <b/>
        <i val="0"/>
        <color rgb="FFF2E7FD"/>
      </font>
      <fill>
        <patternFill>
          <bgColor rgb="FFAA72C0"/>
        </patternFill>
      </fill>
    </dxf>
    <dxf>
      <font>
        <b/>
        <i val="0"/>
        <color rgb="FFEFC4F2"/>
      </font>
      <fill>
        <patternFill>
          <bgColor rgb="FF9850B8"/>
        </patternFill>
      </fill>
    </dxf>
    <dxf>
      <fill>
        <patternFill>
          <bgColor rgb="FFF2E7FD"/>
        </patternFill>
      </fill>
      <border>
        <left style="thin">
          <color rgb="FFAE7BCB"/>
        </left>
        <right style="thin">
          <color rgb="FFAE7BCB"/>
        </right>
        <top style="thin">
          <color rgb="FFAE7BCB"/>
        </top>
        <bottom style="thin">
          <color rgb="FFAE7BCB"/>
        </bottom>
        <vertical style="thin">
          <color rgb="FFAE7BCB"/>
        </vertical>
        <horizontal style="thin">
          <color rgb="FFAE7BCB"/>
        </horizontal>
      </border>
    </dxf>
    <dxf>
      <fill>
        <patternFill>
          <bgColor rgb="FFBFDFDC"/>
        </patternFill>
      </fill>
    </dxf>
    <dxf>
      <font>
        <b/>
        <i val="0"/>
        <color rgb="FF6EE0CA"/>
      </font>
      <fill>
        <patternFill>
          <bgColor rgb="FF498383"/>
        </patternFill>
      </fill>
    </dxf>
    <dxf>
      <font>
        <b/>
        <i val="0"/>
        <color rgb="FF6EE0CA"/>
      </font>
      <fill>
        <patternFill>
          <bgColor rgb="FF20604F"/>
        </patternFill>
      </fill>
    </dxf>
    <dxf>
      <fill>
        <patternFill>
          <bgColor rgb="FFD7F5EF"/>
        </patternFill>
      </fill>
      <border>
        <left style="thin">
          <color rgb="FF6EE0CA"/>
        </left>
        <right style="thin">
          <color rgb="FF6EE0CA"/>
        </right>
        <top style="thin">
          <color rgb="FF6EE0CA"/>
        </top>
        <bottom style="thin">
          <color rgb="FF6EE0CA"/>
        </bottom>
        <vertical style="thin">
          <color rgb="FF6EE0CA"/>
        </vertical>
        <horizontal style="thin">
          <color rgb="FF6EE0CA"/>
        </horizontal>
      </border>
    </dxf>
  </dxfs>
  <tableStyles count="4" defaultTableStyle="TableStyleMedium2" defaultPivotStyle="PivotStyleLight16">
    <tableStyle name="MyGreen" pivot="0" count="4" xr9:uid="{CC65B23C-FB74-4DF8-B941-A15B2B917BA5}">
      <tableStyleElement type="wholeTable" dxfId="72"/>
      <tableStyleElement type="headerRow" dxfId="71"/>
      <tableStyleElement type="totalRow" dxfId="70"/>
      <tableStyleElement type="secondRowStripe" dxfId="69"/>
    </tableStyle>
    <tableStyle name="MyPurple" pivot="0" count="4" xr9:uid="{5A84F285-6009-4D2D-A499-84D3135770F8}">
      <tableStyleElement type="wholeTable" dxfId="68"/>
      <tableStyleElement type="headerRow" dxfId="67"/>
      <tableStyleElement type="totalRow" dxfId="66"/>
      <tableStyleElement type="secondRowStripe" dxfId="65"/>
    </tableStyle>
    <tableStyle name="MyRed" pivot="0" count="4" xr9:uid="{A659324A-B02A-4DCB-9C66-001AB1AE3EF8}">
      <tableStyleElement type="wholeTable" dxfId="64"/>
      <tableStyleElement type="headerRow" dxfId="63"/>
      <tableStyleElement type="totalRow" dxfId="62"/>
      <tableStyleElement type="secondRowStripe" dxfId="61"/>
    </tableStyle>
    <tableStyle name="MyYellow" pivot="0" count="4" xr9:uid="{C209E02F-AFCA-4E1D-922A-B7F3F6374B78}">
      <tableStyleElement type="wholeTable" dxfId="60"/>
      <tableStyleElement type="headerRow" dxfId="59"/>
      <tableStyleElement type="totalRow" dxfId="58"/>
      <tableStyleElement type="secondRowStripe" dxfId="57"/>
    </tableStyle>
  </tableStyles>
  <colors>
    <mruColors>
      <color rgb="FFDFF1A5"/>
      <color rgb="FFF5FDD7"/>
      <color rgb="FFC6E08C"/>
      <color rgb="FFA1C674"/>
      <color rgb="FFD9EBEB"/>
      <color rgb="FFCDFFFD"/>
      <color rgb="FFFFCCFF"/>
      <color rgb="FF819D41"/>
      <color rgb="FFE9F8BA"/>
      <color rgb="FF728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144517</xdr:colOff>
      <xdr:row>0</xdr:row>
      <xdr:rowOff>0</xdr:rowOff>
    </xdr:from>
    <xdr:to>
      <xdr:col>8</xdr:col>
      <xdr:colOff>367862</xdr:colOff>
      <xdr:row>1</xdr:row>
      <xdr:rowOff>98534</xdr:rowOff>
    </xdr:to>
    <xdr:sp macro="[0]!shCos.SyncCodeData" textlink="">
      <xdr:nvSpPr>
        <xdr:cNvPr id="2" name="Rectangle 1">
          <a:extLst>
            <a:ext uri="{FF2B5EF4-FFF2-40B4-BE49-F238E27FC236}">
              <a16:creationId xmlns:a16="http://schemas.microsoft.com/office/drawing/2014/main" id="{C7A13BAB-D74A-53C3-7179-58D70940D557}"/>
            </a:ext>
          </a:extLst>
        </xdr:cNvPr>
        <xdr:cNvSpPr/>
      </xdr:nvSpPr>
      <xdr:spPr>
        <a:xfrm>
          <a:off x="10602310" y="0"/>
          <a:ext cx="834259" cy="26275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Sync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Data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4D07B9-8FBD-4E3B-8793-F153E7CE2392}" name="tbCOSG" displayName="tbCOSG" ref="A1:D5" totalsRowShown="0">
  <autoFilter ref="A1:D5" xr:uid="{084D07B9-8FBD-4E3B-8793-F153E7CE2392}"/>
  <tableColumns count="4">
    <tableColumn id="1" xr3:uid="{A35F3AB6-581A-46A9-80B1-AE03AAB77049}" name="#"/>
    <tableColumn id="2" xr3:uid="{D5BB8D79-6796-43F1-8F96-B75D34AFF9BC}" name="code"/>
    <tableColumn id="4" xr3:uid="{2B8867F3-BB55-4308-83E0-08560C13C2CF}" name="group name"/>
    <tableColumn id="3" xr3:uid="{13B6FFDC-8F88-4341-A4C2-A8C714679082}" name="notes"/>
  </tableColumns>
  <tableStyleInfo name="MyRe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1AE71-50CE-4538-9E26-BB8404BED546}" name="tbHead" displayName="tbHead" ref="A1:C11" totalsRowShown="0">
  <autoFilter ref="A1:C11" xr:uid="{7CA1AE71-50CE-4538-9E26-BB8404BED546}"/>
  <tableColumns count="3">
    <tableColumn id="1" xr3:uid="{CC39A9C6-0FA7-486D-8BEA-8B20AD103ED9}" name="#" dataDxfId="55">
      <calculatedColumnFormula>ROW()-ROW(tbHead[[#Headers],['#]])</calculatedColumnFormula>
    </tableColumn>
    <tableColumn id="2" xr3:uid="{283EDA86-7F5A-49E1-9519-4B5D03B02CF3}" name="Head"/>
    <tableColumn id="3" xr3:uid="{EB0185EC-6470-437D-B27E-752B0B860E07}" name="Report"/>
  </tableColumns>
  <tableStyleInfo name="MyRe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A56288-3463-4FF8-BE5C-D4EAA22A8AB7}" name="tbGroup" displayName="tbGroup" ref="A1:D10" totalsRowShown="0">
  <autoFilter ref="A1:D10" xr:uid="{45A56288-3463-4FF8-BE5C-D4EAA22A8AB7}"/>
  <tableColumns count="4">
    <tableColumn id="1" xr3:uid="{92883A68-E253-47D8-BC29-2BA52841B876}" name="#" dataDxfId="53">
      <calculatedColumnFormula>ROW()-ROW(tbGroup[[#Headers],['#]])</calculatedColumnFormula>
    </tableColumn>
    <tableColumn id="3" xr3:uid="{2E7BDE28-A8A4-4A77-9183-048A2676B403}" name="Group"/>
    <tableColumn id="4" xr3:uid="{266AC9D5-5262-46FF-A7E3-39EC3EF54895}" name="Head"/>
    <tableColumn id="5" xr3:uid="{D2591F5D-7E7F-4DCD-8C5A-596AA330020C}" name="Rep" dataDxfId="52">
      <calculatedColumnFormula>VLOOKUP(tbGroup[[#This Row],[Head]],tbHead[[Head]:[Report]],2,FALSE)</calculatedColumnFormula>
    </tableColumn>
  </tableColumns>
  <tableStyleInfo name="MyRe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51E5FA-FD75-4CE6-8308-59EA0776D88F}" name="tbSGroup" displayName="tbSGroup" ref="A1:B12" totalsRowShown="0">
  <autoFilter ref="A1:B12" xr:uid="{45A56288-3463-4FF8-BE5C-D4EAA22A8AB7}"/>
  <tableColumns count="2">
    <tableColumn id="1" xr3:uid="{0A703F61-27B8-4909-A02A-2EE552F89D22}" name="#" dataDxfId="50">
      <calculatedColumnFormula>ROW()-ROW(tbSGroup[[#Headers],['#]])</calculatedColumnFormula>
    </tableColumn>
    <tableColumn id="3" xr3:uid="{AFE7E74D-CA58-4DF6-A5FA-E45BBF327CC5}" name="SubGroup"/>
  </tableColumns>
  <tableStyleInfo name="MyRe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30AA7D-7F1C-4391-A08E-CA9EEA63C4FA}" name="tbSeq" displayName="tbSeq" ref="A1:C4" totalsRowShown="0">
  <autoFilter ref="A1:C4" xr:uid="{7CA1AE71-50CE-4538-9E26-BB8404BED546}"/>
  <tableColumns count="3">
    <tableColumn id="1" xr3:uid="{ACF58CF1-3AB6-4B4F-965E-88DAB4211293}" name="#" dataDxfId="48">
      <calculatedColumnFormula>ROW()-ROW(tbSeq[[#Headers],['#]])</calculatedColumnFormula>
    </tableColumn>
    <tableColumn id="2" xr3:uid="{16B66D13-C0F8-49CD-A7E3-8EFD1D28D1CA}" name="Code"/>
    <tableColumn id="3" xr3:uid="{D85DF051-11F9-48B5-9E8C-A71E673C313A}" name="Seqment"/>
  </tableColumns>
  <tableStyleInfo name="MyYellow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F79F0F-31B0-4F9D-B5AB-DC81DAB954AE}" name="tbCc" displayName="tbCc" ref="A1:G6" totalsRowShown="0">
  <autoFilter ref="A1:G6" xr:uid="{B5F79F0F-31B0-4F9D-B5AB-DC81DAB954AE}"/>
  <tableColumns count="7">
    <tableColumn id="1" xr3:uid="{56CAB03F-8AB8-4D89-8011-941858FCD26F}" name="#" dataDxfId="44">
      <calculatedColumnFormula>ROW()-ROW(tbCc[[#Headers],['#]])</calculatedColumnFormula>
    </tableColumn>
    <tableColumn id="2" xr3:uid="{3402D460-7AA7-4EF7-A1C4-42F4C5840302}" name="Code"/>
    <tableColumn id="3" xr3:uid="{2C42579D-E06D-426A-9BA0-DADC6FA9EA6A}" name="Cost Center"/>
    <tableColumn id="6" xr3:uid="{7F58CE18-3827-4144-BFB4-DF5DFC660D90}" name="Type"/>
    <tableColumn id="4" xr3:uid="{BE66DEA3-B9E3-4C2B-BF39-E6DED59F1456}" name="SeqCode"/>
    <tableColumn id="8" xr3:uid="{B5C2126A-6C51-45D1-AF56-872E3FE36D9C}" name="Segment" dataDxfId="43">
      <calculatedColumnFormula>INDEX(tbSeq[Seqment],MATCH(tbCc[[#This Row],[SeqCode]],tbSeq[Code],0))</calculatedColumnFormula>
    </tableColumn>
    <tableColumn id="5" xr3:uid="{96DD1F12-6CEE-4CFF-B155-690B4C19375A}" name="Budget" dataDxfId="42"/>
  </tableColumns>
  <tableStyleInfo name="MyYellow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B100FF-FDFA-472B-A3A5-B5EDA73620DD}" name="tbPart" displayName="tbPart" ref="A1:K8" totalsRowShown="0">
  <autoFilter ref="A1:K8" xr:uid="{C4B100FF-FDFA-472B-A3A5-B5EDA73620DD}"/>
  <tableColumns count="11">
    <tableColumn id="1" xr3:uid="{F2F61F04-BD59-4301-87C0-C0792A00F445}" name="#" dataDxfId="40">
      <calculatedColumnFormula>ROW()-ROW(tbPart[[#Headers],['#]])</calculatedColumnFormula>
    </tableColumn>
    <tableColumn id="2" xr3:uid="{76B862C7-0DDF-46BC-81CD-1B21F57EE212}" name="Code"/>
    <tableColumn id="3" xr3:uid="{06041120-B85E-4993-8BB6-F73D06931CA7}" name="Name"/>
    <tableColumn id="4" xr3:uid="{74DD111D-EE42-4CC8-80A9-D26CD421BDA2}" name="Coa"/>
    <tableColumn id="11" xr3:uid="{C880BFF3-833F-475E-8A96-8E66FBC045D4}" name="Account Name" dataDxfId="39">
      <calculatedColumnFormula>VLOOKUP(tbPart[[#This Row],[Coa]],tbCoa[[Code]:[Account Name]],4,FALSE)</calculatedColumnFormula>
    </tableColumn>
    <tableColumn id="5" xr3:uid="{3C96F227-47CD-42D1-9DF5-36F7ED09951A}" name="Type"/>
    <tableColumn id="10" xr3:uid="{40A1418D-74AA-4D29-9083-EF478AFE35C0}" name="Contact"/>
    <tableColumn id="6" xr3:uid="{901870B1-CB58-4F3C-95C6-544364AC5513}" name="WA"/>
    <tableColumn id="9" xr3:uid="{4D2297A0-E582-48C3-9AF7-C7A0502385FD}" name="Email"/>
    <tableColumn id="7" xr3:uid="{5EA67600-BF53-4699-A23B-1CE8DF6BCDB3}" name="Address"/>
    <tableColumn id="8" xr3:uid="{0D2CD057-D925-4784-A59F-7041651D3508}" name="City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3534E-2442-4083-986D-2684E74CF061}" name="tbCcf" displayName="tbCcf" ref="A1:H14" totalsRowShown="0">
  <autoFilter ref="A1:H14" xr:uid="{86C3534E-2442-4083-986D-2684E74CF061}"/>
  <tableColumns count="8">
    <tableColumn id="1" xr3:uid="{A395AF9A-0479-48BC-9F17-6BF60B8916E1}" name="#" dataDxfId="35">
      <calculatedColumnFormula>ROW()-ROW(tbCcf[[#Headers],['#]])-1</calculatedColumnFormula>
    </tableColumn>
    <tableColumn id="2" xr3:uid="{01ADEC54-B71A-49A0-BBCE-E03093626744}" name="Code"/>
    <tableColumn id="3" xr3:uid="{F2BED9C1-682E-45A0-8B23-59105C6AD959}" name="Description"/>
    <tableColumn id="4" xr3:uid="{F229B9AF-9197-46B9-8C32-EFA94F7D1F8B}" name="Head"/>
    <tableColumn id="11" xr3:uid="{9BE64E05-3508-439F-AE71-C5E02B64903B}" name="Sort"/>
    <tableColumn id="5" xr3:uid="{DE67F604-773B-4C2E-88DB-29A8C1944B9D}" name="Group"/>
    <tableColumn id="7" xr3:uid="{729E8B84-FDE5-47CC-ACE2-23A72862F3FB}" name="Type"/>
    <tableColumn id="8" xr3:uid="{EF382D7E-1F8B-440C-BD55-AF1139501F19}" name="Remarks"/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02295-0AB2-4B3C-9368-41BDF9B18125}" name="tbBatch" displayName="tbBatch" ref="A1:F9" totalsRowShown="0" headerRowDxfId="31">
  <autoFilter ref="A1:F9" xr:uid="{0E702295-0AB2-4B3C-9368-41BDF9B18125}"/>
  <sortState xmlns:xlrd2="http://schemas.microsoft.com/office/spreadsheetml/2017/richdata2" ref="A2:D4">
    <sortCondition ref="D1:D4"/>
  </sortState>
  <tableColumns count="6">
    <tableColumn id="1" xr3:uid="{24E39053-3B1D-40E4-A8B3-E4A919B9C26E}" name="#" dataDxfId="30">
      <calculatedColumnFormula>ROW()-ROW(tbBatch[[#Headers],['#]])</calculatedColumnFormula>
    </tableColumn>
    <tableColumn id="2" xr3:uid="{E40417E8-4E6A-418C-8874-13DB298580F6}" name="Code"/>
    <tableColumn id="3" xr3:uid="{FE2157F8-0879-4470-B366-863C51ECCADA}" name="Name"/>
    <tableColumn id="4" xr3:uid="{BFD6B25F-2D98-4C07-8337-D13362C69F07}" name="Type"/>
    <tableColumn id="5" xr3:uid="{C4ACAC1D-BF5B-41A4-A1F0-8D3C84BC3E75}" name="Report"/>
    <tableColumn id="6" xr3:uid="{0F713837-6F8F-4A28-9E90-6615A2FF7564}" name="IsCF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263ECF-E737-4355-8122-411F92471B1B}" name="tbCoa" displayName="tbCoa" ref="A1:S11" totalsRowShown="0" headerRowDxfId="24">
  <autoFilter ref="A1:S11" xr:uid="{63263ECF-E737-4355-8122-411F92471B1B}"/>
  <tableColumns count="19">
    <tableColumn id="1" xr3:uid="{587C39FC-FADF-4E17-A34E-C5C1BD14FB8C}" name="#" dataDxfId="23">
      <calculatedColumnFormula>ROW()-ROW(tbCoa[[#Headers],['#]])</calculatedColumnFormula>
    </tableColumn>
    <tableColumn id="2" xr3:uid="{C2D0176D-918A-4A5E-BD00-7DA6F1F7D709}" name="Number" dataDxfId="22"/>
    <tableColumn id="3" xr3:uid="{16999FE8-3789-42E6-84CB-226C569793AB}" name="Code"/>
    <tableColumn id="4" xr3:uid="{43FF0CF9-AEC9-4DB9-9290-87A5525D6542}" name="Tax"/>
    <tableColumn id="5" xr3:uid="{599F1360-884B-4986-AD18-87AB29EF1278}" name="Ori Name"/>
    <tableColumn id="14" xr3:uid="{AD404CFB-0EED-4E49-A0A9-C3ED71FC6E54}" name="Account Name" dataDxfId="21"/>
    <tableColumn id="6" xr3:uid="{41C96298-06AB-476A-885C-E2E0146504E6}" name="Norm" dataDxfId="20"/>
    <tableColumn id="7" xr3:uid="{1612A88E-43A3-4E88-A61C-31913205F1DE}" name="Contra" dataDxfId="19"/>
    <tableColumn id="8" xr3:uid="{1D0D73DA-8510-418E-B9B8-3B395D9E2B77}" name="Status" dataDxfId="18"/>
    <tableColumn id="22" xr3:uid="{B1AD54D9-6C57-414C-8DC8-14F246341B04}" name="Head" dataDxfId="17">
      <calculatedColumnFormula>VLOOKUP(tbCoa[[#This Row],[Group]],tbGroup[[Group]:[Head]],2,FALSE)</calculatedColumnFormula>
    </tableColumn>
    <tableColumn id="10" xr3:uid="{5F583B17-4868-4816-8935-08FADAF607FF}" name="Group"/>
    <tableColumn id="11" xr3:uid="{D8BC4C0F-AE46-49DF-AEB4-903D140E559C}" name="Sgroup"/>
    <tableColumn id="21" xr3:uid="{74491141-F0BA-4C3E-BEAA-8150451DD278}" name="Rep" dataDxfId="16">
      <calculatedColumnFormula>VLOOKUP(tbCoa[[#This Row],[Group]],tbGroup[[Group]:[Rep]],3,FALSE)</calculatedColumnFormula>
    </tableColumn>
    <tableColumn id="12" xr3:uid="{37F4A92C-5BBC-4E65-97ED-943B3B1994C1}" name="Cf" dataDxfId="15"/>
    <tableColumn id="15" xr3:uid="{8A1930CE-A048-44EF-8B0D-BAE7391AE591}" name="CosGr" dataDxfId="14"/>
    <tableColumn id="17" xr3:uid="{8DB286B2-A75D-413A-A4F8-D63E31AA805E}" name="CosNum" dataDxfId="13">
      <calculatedColumnFormula>INDEX(tbCOSG['#],MATCH(tbCoa[[#This Row],[CosGr]],tbCOSG[code],0))</calculatedColumnFormula>
    </tableColumn>
    <tableColumn id="9" xr3:uid="{382ADFC9-D8EA-40DD-820D-F31C670024DC}" name="Zero" dataDxfId="12"/>
    <tableColumn id="16" xr3:uid="{A8692F2A-EAE5-4B49-BCB0-D580D2F86F2E}" name="Remarks"/>
    <tableColumn id="13" xr3:uid="{92B9F94C-363C-48C9-BC6B-6FA71FF0007B}" name="Description" dataDxfId="11">
      <calculatedColumnFormula>tbCoa[[#This Row],[Number]]&amp;"|"&amp;tbCoa[[#This Row],[Account Name]]&amp;" ("&amp;tbCoa[[#This Row],[Code]]&amp;")"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11F575-2B1A-4EA0-A1DD-6468EAB30481}" name="tbTax" displayName="tbTax" ref="A1:G89" totalsRowShown="0">
  <autoFilter ref="A1:G89" xr:uid="{1511F575-2B1A-4EA0-A1DD-6468EAB30481}"/>
  <tableColumns count="7">
    <tableColumn id="1" xr3:uid="{EB762B4A-44D8-47BB-B5F8-0F43747A3A0A}" name="#" dataDxfId="10">
      <calculatedColumnFormula>ROW()-1</calculatedColumnFormula>
    </tableColumn>
    <tableColumn id="4" xr3:uid="{9EAE7EED-42B2-4D60-B6B7-9B0BFC765570}" name="Code"/>
    <tableColumn id="2" xr3:uid="{5DCC36BE-78DF-473C-8CBD-51FBD582B336}" name="Account Name"/>
    <tableColumn id="3" xr3:uid="{4650494C-127D-4BBF-9A07-EB38286B5AA5}" name="Group"/>
    <tableColumn id="5" xr3:uid="{0FE047D1-D3DB-469C-8AC5-F37B2AE1E272}" name="Type"/>
    <tableColumn id="7" xr3:uid="{BD738A9A-6210-4FA7-B87E-31FDBCFB6968}" name="Report"/>
    <tableColumn id="6" xr3:uid="{85D39AA0-3B05-4D0D-A659-C9226752EFBE}" name="Idx"/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311E0D-4F24-4929-9F2F-4998A78782F9}" name="tbCOS" displayName="tbCOS" ref="A1:G14" totalsRowShown="0" dataDxfId="7">
  <autoFilter ref="A1:G14" xr:uid="{5B311E0D-4F24-4929-9F2F-4998A78782F9}"/>
  <tableColumns count="7">
    <tableColumn id="1" xr3:uid="{258DD08D-BCAC-4888-BA1B-CF54839F99D5}" name="#" dataDxfId="6">
      <calculatedColumnFormula>ROW()-ROW(tbCOS[[#Headers],['#]])</calculatedColumnFormula>
    </tableColumn>
    <tableColumn id="2" xr3:uid="{66027C50-8811-4A82-AC04-14CC0C5C6B24}" name="Number" dataDxfId="5">
      <calculatedColumnFormula>INDEX(tbCOSG['#],MATCH(tbCOS[[#This Row],[Group]],tbCOSG[code],0))</calculatedColumnFormula>
    </tableColumn>
    <tableColumn id="3" xr3:uid="{1EF8A53A-8975-47C8-9A1B-36DE743164F4}" name="Code" dataDxfId="4"/>
    <tableColumn id="4" xr3:uid="{A59C9BA7-C8E4-48D4-A746-D6E1524A154A}" name="Account Name" dataDxfId="3">
      <calculatedColumnFormula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calculatedColumnFormula>
    </tableColumn>
    <tableColumn id="5" xr3:uid="{810EC279-8F08-43B1-AC64-ED393C433B91}" name="Group" dataDxfId="2"/>
    <tableColumn id="6" xr3:uid="{83508BB5-DEB6-4FA0-BCDD-E5FA61FF7748}" name="Status" dataDxfId="1"/>
    <tableColumn id="7" xr3:uid="{4BC91A7A-69E9-4B7E-A13B-804062A22EA2}" name="Head" dataDxfId="0">
      <calculatedColumnFormula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64CB-FEE4-48B4-96C7-AFB60281E5E3}">
  <sheetPr codeName="shHelper">
    <tabColor theme="2" tint="-0.499984740745262"/>
  </sheetPr>
  <dimension ref="A1:D5"/>
  <sheetViews>
    <sheetView workbookViewId="0">
      <selection activeCell="C4" sqref="C4"/>
    </sheetView>
  </sheetViews>
  <sheetFormatPr defaultRowHeight="12.75" x14ac:dyDescent="0.2"/>
  <cols>
    <col min="1" max="1" width="5" customWidth="1"/>
    <col min="3" max="3" width="17.28515625" customWidth="1"/>
    <col min="4" max="4" width="48.5703125" customWidth="1"/>
  </cols>
  <sheetData>
    <row r="1" spans="1:4" x14ac:dyDescent="0.2">
      <c r="A1" t="s">
        <v>5</v>
      </c>
      <c r="B1" t="s">
        <v>44</v>
      </c>
      <c r="C1" t="s">
        <v>55</v>
      </c>
      <c r="D1" t="s">
        <v>54</v>
      </c>
    </row>
    <row r="2" spans="1:4" x14ac:dyDescent="0.2">
      <c r="A2">
        <v>0</v>
      </c>
      <c r="B2" t="s">
        <v>53</v>
      </c>
      <c r="C2" t="s">
        <v>39</v>
      </c>
      <c r="D2" t="s">
        <v>39</v>
      </c>
    </row>
    <row r="3" spans="1:4" x14ac:dyDescent="0.2">
      <c r="A3">
        <v>1</v>
      </c>
      <c r="B3" t="s">
        <v>45</v>
      </c>
      <c r="C3" t="s">
        <v>56</v>
      </c>
      <c r="D3" t="s">
        <v>47</v>
      </c>
    </row>
    <row r="4" spans="1:4" x14ac:dyDescent="0.2">
      <c r="A4">
        <v>2</v>
      </c>
      <c r="B4" t="s">
        <v>46</v>
      </c>
      <c r="C4" t="s">
        <v>29</v>
      </c>
      <c r="D4" t="s">
        <v>48</v>
      </c>
    </row>
    <row r="5" spans="1:4" x14ac:dyDescent="0.2">
      <c r="A5">
        <v>3</v>
      </c>
      <c r="B5" t="s">
        <v>49</v>
      </c>
      <c r="C5" t="s">
        <v>50</v>
      </c>
      <c r="D5" t="s">
        <v>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FD499-BE8C-4D71-9E02-001EA96C7361}">
  <sheetPr codeName="shSet">
    <tabColor theme="6" tint="-0.499984740745262"/>
  </sheetPr>
  <dimension ref="A1:E28"/>
  <sheetViews>
    <sheetView showGridLines="0" zoomScale="220" zoomScaleNormal="220" workbookViewId="0">
      <selection activeCell="C20" sqref="C20"/>
    </sheetView>
  </sheetViews>
  <sheetFormatPr defaultColWidth="0" defaultRowHeight="12.75" zeroHeight="1" x14ac:dyDescent="0.2"/>
  <cols>
    <col min="1" max="1" width="2.140625" style="6" customWidth="1"/>
    <col min="2" max="2" width="21.5703125" style="6" customWidth="1"/>
    <col min="3" max="3" width="35.42578125" style="6" customWidth="1"/>
    <col min="4" max="4" width="52.7109375" style="6" customWidth="1"/>
    <col min="5" max="5" width="1.140625" style="6" customWidth="1"/>
    <col min="6" max="16384" width="9.140625" style="13" hidden="1"/>
  </cols>
  <sheetData>
    <row r="1" spans="2:4" x14ac:dyDescent="0.2">
      <c r="C1" s="19" t="s">
        <v>72</v>
      </c>
    </row>
    <row r="2" spans="2:4" ht="21" x14ac:dyDescent="0.35">
      <c r="B2" s="8" t="s">
        <v>75</v>
      </c>
    </row>
    <row r="3" spans="2:4" x14ac:dyDescent="0.2">
      <c r="B3" s="11" t="s">
        <v>57</v>
      </c>
    </row>
    <row r="4" spans="2:4" x14ac:dyDescent="0.2"/>
    <row r="5" spans="2:4" x14ac:dyDescent="0.2">
      <c r="B5" s="7" t="s">
        <v>58</v>
      </c>
    </row>
    <row r="6" spans="2:4" x14ac:dyDescent="0.2">
      <c r="B6" s="12" t="s">
        <v>31</v>
      </c>
      <c r="C6" s="9" t="s">
        <v>205</v>
      </c>
    </row>
    <row r="7" spans="2:4" x14ac:dyDescent="0.2">
      <c r="B7" s="12" t="s">
        <v>32</v>
      </c>
      <c r="C7" s="9" t="s">
        <v>204</v>
      </c>
    </row>
    <row r="8" spans="2:4" x14ac:dyDescent="0.2"/>
    <row r="9" spans="2:4" x14ac:dyDescent="0.2">
      <c r="B9" s="7" t="s">
        <v>0</v>
      </c>
    </row>
    <row r="10" spans="2:4" x14ac:dyDescent="0.2">
      <c r="B10" s="12" t="s">
        <v>33</v>
      </c>
      <c r="C10" s="10">
        <v>45870</v>
      </c>
    </row>
    <row r="11" spans="2:4" x14ac:dyDescent="0.2">
      <c r="B11" s="12" t="s">
        <v>34</v>
      </c>
      <c r="C11" s="10">
        <v>45930</v>
      </c>
    </row>
    <row r="12" spans="2:4" x14ac:dyDescent="0.2"/>
    <row r="13" spans="2:4" x14ac:dyDescent="0.2">
      <c r="B13" s="6" t="s">
        <v>70</v>
      </c>
      <c r="C13" s="18" t="s">
        <v>71</v>
      </c>
    </row>
    <row r="14" spans="2:4" x14ac:dyDescent="0.2">
      <c r="B14" s="12" t="s">
        <v>68</v>
      </c>
      <c r="C14" s="9" t="s">
        <v>199</v>
      </c>
      <c r="D14" s="9" t="s">
        <v>78</v>
      </c>
    </row>
    <row r="15" spans="2:4" x14ac:dyDescent="0.2">
      <c r="B15" s="12" t="s">
        <v>79</v>
      </c>
      <c r="C15" s="9" t="s">
        <v>49</v>
      </c>
      <c r="D15" s="9" t="s">
        <v>80</v>
      </c>
    </row>
    <row r="16" spans="2:4" x14ac:dyDescent="0.2">
      <c r="B16" s="12" t="s">
        <v>81</v>
      </c>
      <c r="C16" s="9" t="s">
        <v>189</v>
      </c>
      <c r="D16" s="9" t="s">
        <v>82</v>
      </c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</sheetData>
  <dataValidations count="3">
    <dataValidation type="list" allowBlank="1" showInputMessage="1" showErrorMessage="1" sqref="C14" xr:uid="{08DB2954-68DD-4EF9-9C36-407F26A8C6B0}">
      <formula1>_coa</formula1>
    </dataValidation>
    <dataValidation type="list" allowBlank="1" showInputMessage="1" showErrorMessage="1" sqref="C15" xr:uid="{33CA4AEA-E094-4644-8CD5-391650855A31}">
      <formula1>_cosGroup</formula1>
    </dataValidation>
    <dataValidation type="list" allowBlank="1" showInputMessage="1" showErrorMessage="1" sqref="C16" xr:uid="{D845921B-5BEE-49EB-B97F-739CD06433C9}">
      <formula1>_jb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3348-8D61-463E-8EFC-3533CCACC857}">
  <sheetPr codeName="shHead">
    <tabColor rgb="FFFFCCFF"/>
  </sheetPr>
  <dimension ref="A1:C11"/>
  <sheetViews>
    <sheetView showGridLines="0" zoomScale="280" zoomScaleNormal="280" workbookViewId="0">
      <selection activeCell="B11" sqref="B11"/>
    </sheetView>
  </sheetViews>
  <sheetFormatPr defaultRowHeight="12.75" x14ac:dyDescent="0.2"/>
  <cols>
    <col min="1" max="1" width="4.140625" bestFit="1" customWidth="1"/>
    <col min="2" max="2" width="21.140625" customWidth="1"/>
    <col min="3" max="3" width="8.7109375" bestFit="1" customWidth="1"/>
  </cols>
  <sheetData>
    <row r="1" spans="1:3" x14ac:dyDescent="0.2">
      <c r="A1" t="s">
        <v>5</v>
      </c>
      <c r="B1" t="s">
        <v>7</v>
      </c>
      <c r="C1" t="s">
        <v>2</v>
      </c>
    </row>
    <row r="2" spans="1:3" x14ac:dyDescent="0.2">
      <c r="A2" s="14">
        <f>ROW()-ROW(tbHead[[#Headers],['#]])</f>
        <v>1</v>
      </c>
      <c r="B2" t="s">
        <v>66</v>
      </c>
      <c r="C2" t="s">
        <v>3</v>
      </c>
    </row>
    <row r="3" spans="1:3" x14ac:dyDescent="0.2">
      <c r="A3" s="14">
        <f>ROW()-ROW(tbHead[[#Headers],['#]])</f>
        <v>2</v>
      </c>
      <c r="B3" t="s">
        <v>59</v>
      </c>
      <c r="C3" t="s">
        <v>3</v>
      </c>
    </row>
    <row r="4" spans="1:3" x14ac:dyDescent="0.2">
      <c r="A4" s="14">
        <f>ROW()-ROW(tbHead[[#Headers],['#]])</f>
        <v>3</v>
      </c>
      <c r="B4" t="s">
        <v>60</v>
      </c>
      <c r="C4" t="s">
        <v>69</v>
      </c>
    </row>
    <row r="5" spans="1:3" x14ac:dyDescent="0.2">
      <c r="A5" s="14">
        <f>ROW()-ROW(tbHead[[#Headers],['#]])</f>
        <v>4</v>
      </c>
      <c r="B5" t="s">
        <v>61</v>
      </c>
      <c r="C5" t="s">
        <v>4</v>
      </c>
    </row>
    <row r="6" spans="1:3" x14ac:dyDescent="0.2">
      <c r="A6" s="14">
        <f>ROW()-ROW(tbHead[[#Headers],['#]])</f>
        <v>5</v>
      </c>
      <c r="B6" t="s">
        <v>62</v>
      </c>
      <c r="C6" t="s">
        <v>4</v>
      </c>
    </row>
    <row r="7" spans="1:3" x14ac:dyDescent="0.2">
      <c r="A7" s="14">
        <f>ROW()-ROW(tbHead[[#Headers],['#]])</f>
        <v>6</v>
      </c>
      <c r="B7" t="s">
        <v>63</v>
      </c>
      <c r="C7" t="s">
        <v>4</v>
      </c>
    </row>
    <row r="8" spans="1:3" x14ac:dyDescent="0.2">
      <c r="A8" s="14">
        <f>ROW()-ROW(tbHead[[#Headers],['#]])</f>
        <v>7</v>
      </c>
      <c r="B8" t="s">
        <v>64</v>
      </c>
      <c r="C8" t="s">
        <v>4</v>
      </c>
    </row>
    <row r="9" spans="1:3" x14ac:dyDescent="0.2">
      <c r="A9" s="14">
        <f>ROW()-ROW(tbHead[[#Headers],['#]])</f>
        <v>8</v>
      </c>
      <c r="B9" t="s">
        <v>65</v>
      </c>
      <c r="C9" t="s">
        <v>4</v>
      </c>
    </row>
    <row r="10" spans="1:3" x14ac:dyDescent="0.2">
      <c r="A10" s="14">
        <f>ROW()-ROW(tbHead[[#Headers],['#]])</f>
        <v>9</v>
      </c>
      <c r="B10" t="s">
        <v>41</v>
      </c>
      <c r="C10" t="s">
        <v>67</v>
      </c>
    </row>
    <row r="11" spans="1:3" x14ac:dyDescent="0.2">
      <c r="A11" s="14">
        <f>ROW()-ROW(tbHead[[#Headers],['#]])</f>
        <v>10</v>
      </c>
      <c r="B11" t="s">
        <v>40</v>
      </c>
      <c r="C11" t="s">
        <v>43</v>
      </c>
    </row>
  </sheetData>
  <conditionalFormatting sqref="B2:B11">
    <cfRule type="duplicateValues" dxfId="56" priority="3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6256-9748-4E7A-9BE4-FAA4EA2A1DFA}">
  <sheetPr codeName="shGroup">
    <tabColor rgb="FFFFCCFF"/>
  </sheetPr>
  <dimension ref="A1:D10"/>
  <sheetViews>
    <sheetView showGridLines="0" zoomScale="190" zoomScaleNormal="190" workbookViewId="0">
      <selection activeCell="B5" sqref="B5"/>
    </sheetView>
  </sheetViews>
  <sheetFormatPr defaultRowHeight="12.75" x14ac:dyDescent="0.2"/>
  <cols>
    <col min="1" max="1" width="4.140625" bestFit="1" customWidth="1"/>
    <col min="2" max="2" width="34.28515625" customWidth="1"/>
    <col min="3" max="3" width="14.85546875" bestFit="1" customWidth="1"/>
    <col min="4" max="4" width="8" customWidth="1"/>
  </cols>
  <sheetData>
    <row r="1" spans="1:4" x14ac:dyDescent="0.2">
      <c r="A1" t="s">
        <v>5</v>
      </c>
      <c r="B1" t="s">
        <v>1</v>
      </c>
      <c r="C1" t="s">
        <v>7</v>
      </c>
      <c r="D1" t="s">
        <v>6</v>
      </c>
    </row>
    <row r="2" spans="1:4" x14ac:dyDescent="0.2">
      <c r="A2" s="14">
        <f>ROW()-ROW(tbGroup[[#Headers],['#]])</f>
        <v>1</v>
      </c>
      <c r="B2" t="s">
        <v>84</v>
      </c>
      <c r="C2" t="s">
        <v>66</v>
      </c>
      <c r="D2" t="str">
        <f>VLOOKUP(tbGroup[[#This Row],[Head]],tbHead[[Head]:[Report]],2,FALSE)</f>
        <v>BS</v>
      </c>
    </row>
    <row r="3" spans="1:4" x14ac:dyDescent="0.2">
      <c r="A3" s="14">
        <f>ROW()-ROW(tbGroup[[#Headers],['#]])</f>
        <v>2</v>
      </c>
      <c r="B3" t="s">
        <v>85</v>
      </c>
      <c r="C3" t="s">
        <v>66</v>
      </c>
      <c r="D3" t="str">
        <f>VLOOKUP(tbGroup[[#This Row],[Head]],tbHead[[Head]:[Report]],2,FALSE)</f>
        <v>BS</v>
      </c>
    </row>
    <row r="4" spans="1:4" x14ac:dyDescent="0.2">
      <c r="A4" s="14">
        <f>ROW()-ROW(tbGroup[[#Headers],['#]])</f>
        <v>3</v>
      </c>
      <c r="B4" t="s">
        <v>86</v>
      </c>
      <c r="C4" t="s">
        <v>59</v>
      </c>
      <c r="D4" t="str">
        <f>VLOOKUP(tbGroup[[#This Row],[Head]],tbHead[[Head]:[Report]],2,FALSE)</f>
        <v>BS</v>
      </c>
    </row>
    <row r="5" spans="1:4" x14ac:dyDescent="0.2">
      <c r="A5" s="14">
        <f>ROW()-ROW(tbGroup[[#Headers],['#]])</f>
        <v>4</v>
      </c>
      <c r="B5" t="s">
        <v>87</v>
      </c>
      <c r="C5" t="s">
        <v>59</v>
      </c>
      <c r="D5" t="str">
        <f>VLOOKUP(tbGroup[[#This Row],[Head]],tbHead[[Head]:[Report]],2,FALSE)</f>
        <v>BS</v>
      </c>
    </row>
    <row r="6" spans="1:4" x14ac:dyDescent="0.2">
      <c r="A6" s="14">
        <f>ROW()-ROW(tbGroup[[#Headers],['#]])</f>
        <v>5</v>
      </c>
      <c r="B6" t="s">
        <v>88</v>
      </c>
      <c r="C6" t="s">
        <v>60</v>
      </c>
      <c r="D6" t="str">
        <f>VLOOKUP(tbGroup[[#This Row],[Head]],tbHead[[Head]:[Report]],2,FALSE)</f>
        <v>RE</v>
      </c>
    </row>
    <row r="7" spans="1:4" x14ac:dyDescent="0.2">
      <c r="A7" s="14">
        <f>ROW()-ROW(tbGroup[[#Headers],['#]])</f>
        <v>6</v>
      </c>
      <c r="B7" t="s">
        <v>61</v>
      </c>
      <c r="C7" t="s">
        <v>61</v>
      </c>
      <c r="D7" t="str">
        <f>VLOOKUP(tbGroup[[#This Row],[Head]],tbHead[[Head]:[Report]],2,FALSE)</f>
        <v>IS</v>
      </c>
    </row>
    <row r="8" spans="1:4" x14ac:dyDescent="0.2">
      <c r="A8" s="14">
        <f>ROW()-ROW(tbGroup[[#Headers],['#]])</f>
        <v>7</v>
      </c>
      <c r="B8" t="s">
        <v>63</v>
      </c>
      <c r="C8" t="s">
        <v>63</v>
      </c>
      <c r="D8" t="str">
        <f>VLOOKUP(tbGroup[[#This Row],[Head]],tbHead[[Head]:[Report]],2,FALSE)</f>
        <v>IS</v>
      </c>
    </row>
    <row r="9" spans="1:4" x14ac:dyDescent="0.2">
      <c r="A9" s="14">
        <f>ROW()-ROW(tbGroup[[#Headers],['#]])</f>
        <v>8</v>
      </c>
      <c r="B9" t="s">
        <v>41</v>
      </c>
      <c r="C9" t="s">
        <v>41</v>
      </c>
      <c r="D9" t="str">
        <f>VLOOKUP(tbGroup[[#This Row],[Head]],tbHead[[Head]:[Report]],2,FALSE)</f>
        <v>OTHER</v>
      </c>
    </row>
    <row r="10" spans="1:4" x14ac:dyDescent="0.2">
      <c r="A10" s="14">
        <f>ROW()-ROW(tbGroup[[#Headers],['#]])</f>
        <v>9</v>
      </c>
      <c r="B10" t="s">
        <v>89</v>
      </c>
      <c r="C10" t="s">
        <v>40</v>
      </c>
      <c r="D10" t="str">
        <f>VLOOKUP(tbGroup[[#This Row],[Head]],tbHead[[Head]:[Report]],2,FALSE)</f>
        <v>#na</v>
      </c>
    </row>
  </sheetData>
  <conditionalFormatting sqref="B2:B10">
    <cfRule type="duplicateValues" dxfId="54" priority="320"/>
  </conditionalFormatting>
  <dataValidations disablePrompts="1" count="1">
    <dataValidation type="list" allowBlank="1" showInputMessage="1" showErrorMessage="1" sqref="C2:C10" xr:uid="{408599DD-2415-4456-BDAE-4C09B59A4550}">
      <formula1>_head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BD2C9-9C32-422D-B80E-2A7152709DA2}">
  <sheetPr codeName="shSgroup">
    <tabColor rgb="FFFFCCFF"/>
  </sheetPr>
  <dimension ref="A1:B12"/>
  <sheetViews>
    <sheetView showGridLines="0" zoomScale="235" zoomScaleNormal="235" workbookViewId="0">
      <selection activeCell="B3" sqref="B3"/>
    </sheetView>
  </sheetViews>
  <sheetFormatPr defaultRowHeight="12.75" x14ac:dyDescent="0.2"/>
  <cols>
    <col min="1" max="1" width="4.140625" bestFit="1" customWidth="1"/>
    <col min="2" max="2" width="34.140625" customWidth="1"/>
    <col min="3" max="3" width="14.85546875" bestFit="1" customWidth="1"/>
    <col min="4" max="4" width="6.28515625" bestFit="1" customWidth="1"/>
  </cols>
  <sheetData>
    <row r="1" spans="1:2" x14ac:dyDescent="0.2">
      <c r="A1" t="s">
        <v>5</v>
      </c>
      <c r="B1" t="s">
        <v>8</v>
      </c>
    </row>
    <row r="2" spans="1:2" x14ac:dyDescent="0.2">
      <c r="A2" s="14">
        <f>ROW()-ROW(tbSGroup[[#Headers],['#]])</f>
        <v>1</v>
      </c>
      <c r="B2" t="s">
        <v>90</v>
      </c>
    </row>
    <row r="3" spans="1:2" x14ac:dyDescent="0.2">
      <c r="A3" s="14">
        <f>ROW()-ROW(tbSGroup[[#Headers],['#]])</f>
        <v>2</v>
      </c>
      <c r="B3" t="s">
        <v>91</v>
      </c>
    </row>
    <row r="4" spans="1:2" x14ac:dyDescent="0.2">
      <c r="A4" s="14">
        <f>ROW()-ROW(tbSGroup[[#Headers],['#]])</f>
        <v>3</v>
      </c>
      <c r="B4" t="s">
        <v>92</v>
      </c>
    </row>
    <row r="5" spans="1:2" x14ac:dyDescent="0.2">
      <c r="A5" s="14">
        <f>ROW()-ROW(tbSGroup[[#Headers],['#]])</f>
        <v>4</v>
      </c>
      <c r="B5" t="s">
        <v>93</v>
      </c>
    </row>
    <row r="6" spans="1:2" x14ac:dyDescent="0.2">
      <c r="A6" s="14">
        <f>ROW()-ROW(tbSGroup[[#Headers],['#]])</f>
        <v>5</v>
      </c>
      <c r="B6" t="s">
        <v>94</v>
      </c>
    </row>
    <row r="7" spans="1:2" x14ac:dyDescent="0.2">
      <c r="A7" s="14">
        <f>ROW()-ROW(tbSGroup[[#Headers],['#]])</f>
        <v>6</v>
      </c>
      <c r="B7" t="s">
        <v>95</v>
      </c>
    </row>
    <row r="8" spans="1:2" x14ac:dyDescent="0.2">
      <c r="A8" s="14">
        <f>ROW()-ROW(tbSGroup[[#Headers],['#]])</f>
        <v>7</v>
      </c>
      <c r="B8" t="s">
        <v>96</v>
      </c>
    </row>
    <row r="9" spans="1:2" x14ac:dyDescent="0.2">
      <c r="A9" s="14">
        <f>ROW()-ROW(tbSGroup[[#Headers],['#]])</f>
        <v>8</v>
      </c>
      <c r="B9" t="s">
        <v>97</v>
      </c>
    </row>
    <row r="10" spans="1:2" x14ac:dyDescent="0.2">
      <c r="A10" s="14">
        <f>ROW()-ROW(tbSGroup[[#Headers],['#]])</f>
        <v>9</v>
      </c>
      <c r="B10" t="s">
        <v>98</v>
      </c>
    </row>
    <row r="11" spans="1:2" x14ac:dyDescent="0.2">
      <c r="A11" s="14">
        <f>ROW()-ROW(tbSGroup[[#Headers],['#]])</f>
        <v>10</v>
      </c>
      <c r="B11" t="s">
        <v>99</v>
      </c>
    </row>
    <row r="12" spans="1:2" x14ac:dyDescent="0.2">
      <c r="A12" s="14">
        <f>ROW()-ROW(tbSGroup[[#Headers],['#]])</f>
        <v>11</v>
      </c>
      <c r="B12" t="s">
        <v>100</v>
      </c>
    </row>
  </sheetData>
  <conditionalFormatting sqref="B2:B12">
    <cfRule type="duplicateValues" dxfId="51" priority="319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FA94-5E54-451C-A1C2-F7DA34334464}">
  <sheetPr codeName="shSeq">
    <tabColor theme="9" tint="0.79998168889431442"/>
  </sheetPr>
  <dimension ref="A1:C4"/>
  <sheetViews>
    <sheetView showGridLines="0" zoomScale="280" zoomScaleNormal="280" workbookViewId="0">
      <selection activeCell="B3" sqref="B3"/>
    </sheetView>
  </sheetViews>
  <sheetFormatPr defaultRowHeight="12.75" x14ac:dyDescent="0.2"/>
  <cols>
    <col min="1" max="1" width="4.140625" bestFit="1" customWidth="1"/>
    <col min="2" max="2" width="7.28515625" bestFit="1" customWidth="1"/>
    <col min="3" max="3" width="24.7109375" customWidth="1"/>
  </cols>
  <sheetData>
    <row r="1" spans="1:3" x14ac:dyDescent="0.2">
      <c r="A1" t="s">
        <v>5</v>
      </c>
      <c r="B1" t="s">
        <v>9</v>
      </c>
      <c r="C1" t="s">
        <v>10</v>
      </c>
    </row>
    <row r="2" spans="1:3" x14ac:dyDescent="0.2">
      <c r="A2">
        <f>ROW()-ROW(tbSeq[[#Headers],['#]])</f>
        <v>1</v>
      </c>
      <c r="B2" t="s">
        <v>101</v>
      </c>
      <c r="C2" t="s">
        <v>102</v>
      </c>
    </row>
    <row r="3" spans="1:3" x14ac:dyDescent="0.2">
      <c r="A3">
        <f>ROW()-ROW(tbSeq[[#Headers],['#]])</f>
        <v>2</v>
      </c>
      <c r="B3" t="s">
        <v>103</v>
      </c>
      <c r="C3" t="s">
        <v>104</v>
      </c>
    </row>
    <row r="4" spans="1:3" x14ac:dyDescent="0.2">
      <c r="A4">
        <f>ROW()-ROW(tbSeq[[#Headers],['#]])</f>
        <v>3</v>
      </c>
      <c r="B4" t="s">
        <v>105</v>
      </c>
      <c r="C4" t="s">
        <v>106</v>
      </c>
    </row>
  </sheetData>
  <conditionalFormatting sqref="B2:B4">
    <cfRule type="duplicateValues" dxfId="49" priority="3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EB22-2573-4567-B795-98AD9AF86060}">
  <sheetPr codeName="shCc">
    <tabColor rgb="FFA1C674"/>
  </sheetPr>
  <dimension ref="A1:G6"/>
  <sheetViews>
    <sheetView showGridLines="0" zoomScale="130" zoomScaleNormal="130" workbookViewId="0">
      <selection activeCell="C5" sqref="C5"/>
    </sheetView>
  </sheetViews>
  <sheetFormatPr defaultRowHeight="12.75" x14ac:dyDescent="0.2"/>
  <cols>
    <col min="1" max="1" width="6.42578125" customWidth="1"/>
    <col min="2" max="2" width="24.28515625" customWidth="1"/>
    <col min="3" max="3" width="115.7109375" customWidth="1"/>
    <col min="4" max="4" width="6.85546875" customWidth="1"/>
    <col min="5" max="5" width="9.7109375" bestFit="1" customWidth="1"/>
    <col min="6" max="6" width="10.28515625" bestFit="1" customWidth="1"/>
    <col min="7" max="7" width="15.85546875" customWidth="1"/>
  </cols>
  <sheetData>
    <row r="1" spans="1:7" x14ac:dyDescent="0.2">
      <c r="A1" t="s">
        <v>5</v>
      </c>
      <c r="B1" t="s">
        <v>9</v>
      </c>
      <c r="C1" t="s">
        <v>11</v>
      </c>
      <c r="D1" t="s">
        <v>14</v>
      </c>
      <c r="E1" t="s">
        <v>36</v>
      </c>
      <c r="F1" t="s">
        <v>37</v>
      </c>
      <c r="G1" t="s">
        <v>38</v>
      </c>
    </row>
    <row r="2" spans="1:7" x14ac:dyDescent="0.2">
      <c r="A2" s="5">
        <f>ROW()-ROW(tbCc[[#Headers],['#]])</f>
        <v>1</v>
      </c>
      <c r="B2" t="s">
        <v>107</v>
      </c>
      <c r="C2" t="s">
        <v>108</v>
      </c>
      <c r="D2" t="s">
        <v>109</v>
      </c>
      <c r="E2" t="s">
        <v>101</v>
      </c>
      <c r="F2" t="str">
        <f>INDEX(tbSeq[Seqment],MATCH(tbCc[[#This Row],[SeqCode]],tbSeq[Code],0))</f>
        <v>All</v>
      </c>
      <c r="G2" s="2"/>
    </row>
    <row r="3" spans="1:7" x14ac:dyDescent="0.2">
      <c r="A3" s="5">
        <f>ROW()-ROW(tbCc[[#Headers],['#]])</f>
        <v>2</v>
      </c>
      <c r="B3" t="s">
        <v>110</v>
      </c>
      <c r="C3" t="s">
        <v>111</v>
      </c>
      <c r="D3" t="s">
        <v>112</v>
      </c>
      <c r="E3" t="s">
        <v>101</v>
      </c>
      <c r="F3" t="str">
        <f>INDEX(tbSeq[Seqment],MATCH(tbCc[[#This Row],[SeqCode]],tbSeq[Code],0))</f>
        <v>All</v>
      </c>
      <c r="G3" s="2"/>
    </row>
    <row r="4" spans="1:7" x14ac:dyDescent="0.2">
      <c r="A4" s="5">
        <f>ROW()-ROW(tbCc[[#Headers],['#]])</f>
        <v>3</v>
      </c>
      <c r="B4" t="s">
        <v>113</v>
      </c>
      <c r="C4" t="s">
        <v>114</v>
      </c>
      <c r="D4" t="s">
        <v>109</v>
      </c>
      <c r="E4" t="s">
        <v>101</v>
      </c>
      <c r="F4" t="str">
        <f>INDEX(tbSeq[Seqment],MATCH(tbCc[[#This Row],[SeqCode]],tbSeq[Code],0))</f>
        <v>All</v>
      </c>
      <c r="G4" s="2"/>
    </row>
    <row r="5" spans="1:7" x14ac:dyDescent="0.2">
      <c r="A5" s="5">
        <f>ROW()-ROW(tbCc[[#Headers],['#]])</f>
        <v>4</v>
      </c>
      <c r="B5" t="s">
        <v>115</v>
      </c>
      <c r="C5" t="s">
        <v>116</v>
      </c>
      <c r="D5" t="s">
        <v>109</v>
      </c>
      <c r="E5" t="s">
        <v>101</v>
      </c>
      <c r="F5" t="str">
        <f>INDEX(tbSeq[Seqment],MATCH(tbCc[[#This Row],[SeqCode]],tbSeq[Code],0))</f>
        <v>All</v>
      </c>
      <c r="G5" s="2"/>
    </row>
    <row r="6" spans="1:7" x14ac:dyDescent="0.2">
      <c r="A6" s="5">
        <f>ROW()-ROW(tbCc[[#Headers],['#]])</f>
        <v>5</v>
      </c>
      <c r="B6" t="s">
        <v>117</v>
      </c>
      <c r="C6" t="s">
        <v>118</v>
      </c>
      <c r="D6" t="s">
        <v>109</v>
      </c>
      <c r="E6" t="s">
        <v>101</v>
      </c>
      <c r="F6" t="str">
        <f>INDEX(tbSeq[Seqment],MATCH(tbCc[[#This Row],[SeqCode]],tbSeq[Code],0))</f>
        <v>All</v>
      </c>
      <c r="G6" s="2"/>
    </row>
  </sheetData>
  <conditionalFormatting sqref="D2:D6">
    <cfRule type="cellIs" dxfId="47" priority="1" operator="equal">
      <formula>"out"</formula>
    </cfRule>
    <cfRule type="cellIs" dxfId="46" priority="2" operator="equal">
      <formula>"in"</formula>
    </cfRule>
  </conditionalFormatting>
  <conditionalFormatting sqref="B2:B6">
    <cfRule type="duplicateValues" dxfId="45" priority="317"/>
  </conditionalFormatting>
  <dataValidations count="2">
    <dataValidation type="list" allowBlank="1" showInputMessage="1" showErrorMessage="1" sqref="E2:E6" xr:uid="{21C415B5-79FE-44CB-A909-0E81EE04FFCA}">
      <formula1>_seq</formula1>
    </dataValidation>
    <dataValidation type="list" allowBlank="1" showInputMessage="1" showErrorMessage="1" sqref="D2:D6" xr:uid="{0A28D048-4B11-4300-906C-B93706C7E034}">
      <formula1>"in,out"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08D7-4C84-4060-BD9F-0540347358CA}">
  <sheetPr codeName="shSub">
    <tabColor rgb="FFA1C674"/>
  </sheetPr>
  <dimension ref="A1:K8"/>
  <sheetViews>
    <sheetView showGridLines="0" zoomScale="145" zoomScaleNormal="145" workbookViewId="0">
      <selection activeCell="C4" sqref="C4"/>
    </sheetView>
  </sheetViews>
  <sheetFormatPr defaultRowHeight="12.75" x14ac:dyDescent="0.2"/>
  <cols>
    <col min="1" max="1" width="4.140625" bestFit="1" customWidth="1"/>
    <col min="2" max="2" width="22.5703125" customWidth="1"/>
    <col min="3" max="3" width="24.7109375" customWidth="1"/>
    <col min="4" max="4" width="15.85546875" customWidth="1"/>
    <col min="5" max="5" width="24.85546875" customWidth="1"/>
    <col min="6" max="6" width="13.7109375" customWidth="1"/>
    <col min="7" max="11" width="21.7109375" customWidth="1"/>
  </cols>
  <sheetData>
    <row r="1" spans="1:11" x14ac:dyDescent="0.2">
      <c r="A1" t="s">
        <v>5</v>
      </c>
      <c r="B1" t="s">
        <v>9</v>
      </c>
      <c r="C1" t="s">
        <v>12</v>
      </c>
      <c r="D1" t="s">
        <v>13</v>
      </c>
      <c r="E1" t="s">
        <v>20</v>
      </c>
      <c r="F1" t="s">
        <v>14</v>
      </c>
      <c r="G1" t="s">
        <v>19</v>
      </c>
      <c r="H1" t="s">
        <v>16</v>
      </c>
      <c r="I1" t="s">
        <v>18</v>
      </c>
      <c r="J1" t="s">
        <v>15</v>
      </c>
      <c r="K1" t="s">
        <v>17</v>
      </c>
    </row>
    <row r="2" spans="1:11" x14ac:dyDescent="0.2">
      <c r="A2" s="5">
        <f>ROW()-ROW(tbPart[[#Headers],['#]])</f>
        <v>1</v>
      </c>
      <c r="B2" t="s">
        <v>119</v>
      </c>
      <c r="C2" t="s">
        <v>120</v>
      </c>
      <c r="D2" t="s">
        <v>121</v>
      </c>
      <c r="E2" s="21" t="e">
        <f>VLOOKUP(tbPart[[#This Row],[Coa]],tbCoa[[Code]:[Account Name]],4,FALSE)</f>
        <v>#N/A</v>
      </c>
      <c r="F2" t="s">
        <v>136</v>
      </c>
    </row>
    <row r="3" spans="1:11" x14ac:dyDescent="0.2">
      <c r="A3" s="5">
        <f>ROW()-ROW(tbPart[[#Headers],['#]])</f>
        <v>2</v>
      </c>
      <c r="B3" t="s">
        <v>122</v>
      </c>
      <c r="C3" t="s">
        <v>123</v>
      </c>
      <c r="D3" t="s">
        <v>124</v>
      </c>
      <c r="E3" s="21" t="e">
        <f>VLOOKUP(tbPart[[#This Row],[Coa]],tbCoa[[Code]:[Account Name]],4,FALSE)</f>
        <v>#N/A</v>
      </c>
      <c r="F3" t="s">
        <v>137</v>
      </c>
    </row>
    <row r="4" spans="1:11" x14ac:dyDescent="0.2">
      <c r="A4" s="5">
        <f>ROW()-ROW(tbPart[[#Headers],['#]])</f>
        <v>3</v>
      </c>
      <c r="B4" t="s">
        <v>125</v>
      </c>
      <c r="C4" t="s">
        <v>126</v>
      </c>
      <c r="D4" t="s">
        <v>121</v>
      </c>
      <c r="E4" s="21" t="e">
        <f>VLOOKUP(tbPart[[#This Row],[Coa]],tbCoa[[Code]:[Account Name]],4,FALSE)</f>
        <v>#N/A</v>
      </c>
      <c r="F4" t="s">
        <v>136</v>
      </c>
    </row>
    <row r="5" spans="1:11" x14ac:dyDescent="0.2">
      <c r="A5" s="5">
        <f>ROW()-ROW(tbPart[[#Headers],['#]])</f>
        <v>4</v>
      </c>
      <c r="B5" t="s">
        <v>127</v>
      </c>
      <c r="C5" t="s">
        <v>128</v>
      </c>
      <c r="D5" t="s">
        <v>121</v>
      </c>
      <c r="E5" s="21" t="e">
        <f>VLOOKUP(tbPart[[#This Row],[Coa]],tbCoa[[Code]:[Account Name]],4,FALSE)</f>
        <v>#N/A</v>
      </c>
      <c r="F5" t="s">
        <v>136</v>
      </c>
    </row>
    <row r="6" spans="1:11" x14ac:dyDescent="0.2">
      <c r="A6" s="5">
        <f>ROW()-ROW(tbPart[[#Headers],['#]])</f>
        <v>5</v>
      </c>
      <c r="B6" t="s">
        <v>129</v>
      </c>
      <c r="C6" t="s">
        <v>130</v>
      </c>
      <c r="D6" t="s">
        <v>131</v>
      </c>
      <c r="E6" s="21" t="e">
        <f>VLOOKUP(tbPart[[#This Row],[Coa]],tbCoa[[Code]:[Account Name]],4,FALSE)</f>
        <v>#N/A</v>
      </c>
      <c r="F6" t="s">
        <v>138</v>
      </c>
    </row>
    <row r="7" spans="1:11" x14ac:dyDescent="0.2">
      <c r="A7" s="5">
        <f>ROW()-ROW(tbPart[[#Headers],['#]])</f>
        <v>6</v>
      </c>
      <c r="B7" t="s">
        <v>132</v>
      </c>
      <c r="C7" t="s">
        <v>133</v>
      </c>
      <c r="D7" t="s">
        <v>124</v>
      </c>
      <c r="E7" s="21" t="e">
        <f>VLOOKUP(tbPart[[#This Row],[Coa]],tbCoa[[Code]:[Account Name]],4,FALSE)</f>
        <v>#N/A</v>
      </c>
      <c r="F7" t="s">
        <v>137</v>
      </c>
    </row>
    <row r="8" spans="1:11" x14ac:dyDescent="0.2">
      <c r="A8" s="5">
        <f>ROW()-ROW(tbPart[[#Headers],['#]])</f>
        <v>7</v>
      </c>
      <c r="B8" t="s">
        <v>134</v>
      </c>
      <c r="C8" t="s">
        <v>135</v>
      </c>
      <c r="D8" t="s">
        <v>89</v>
      </c>
      <c r="E8" s="21" t="e">
        <f>VLOOKUP(tbPart[[#This Row],[Coa]],tbCoa[[Code]:[Account Name]],4,FALSE)</f>
        <v>#N/A</v>
      </c>
      <c r="F8" t="s">
        <v>139</v>
      </c>
    </row>
  </sheetData>
  <conditionalFormatting sqref="B2:B8">
    <cfRule type="duplicateValues" dxfId="41" priority="316"/>
  </conditionalFormatting>
  <dataValidations count="2">
    <dataValidation type="list" allowBlank="1" showInputMessage="1" showErrorMessage="1" sqref="F2:F8" xr:uid="{3FB39184-E45F-4C03-8D4C-DCDADFD1F4A9}">
      <formula1>"Customer,Vendor,Creditor,Employee,Others,#Void"</formula1>
    </dataValidation>
    <dataValidation type="list" allowBlank="1" showInputMessage="1" showErrorMessage="1" sqref="D2:D8" xr:uid="{8CA76ECD-EF4E-4442-B204-AFFFE20A0DFD}">
      <formula1>_coa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43D8-EE7B-481F-A826-B3D5BF45F2E2}">
  <sheetPr codeName="shCcf">
    <tabColor rgb="FFA1C674"/>
  </sheetPr>
  <dimension ref="A1:H14"/>
  <sheetViews>
    <sheetView showGridLines="0" zoomScale="160" zoomScaleNormal="160" workbookViewId="0">
      <selection activeCell="C7" sqref="C7"/>
    </sheetView>
  </sheetViews>
  <sheetFormatPr defaultRowHeight="12.75" x14ac:dyDescent="0.2"/>
  <cols>
    <col min="1" max="1" width="4.140625" bestFit="1" customWidth="1"/>
    <col min="2" max="2" width="16.5703125" customWidth="1"/>
    <col min="3" max="3" width="51.85546875" customWidth="1"/>
    <col min="4" max="4" width="11.85546875" customWidth="1"/>
    <col min="5" max="5" width="6.5703125" bestFit="1" customWidth="1"/>
    <col min="6" max="6" width="39.42578125" customWidth="1"/>
    <col min="7" max="7" width="7" bestFit="1" customWidth="1"/>
    <col min="8" max="8" width="41.42578125" customWidth="1"/>
    <col min="9" max="9" width="10" customWidth="1"/>
  </cols>
  <sheetData>
    <row r="1" spans="1:8" x14ac:dyDescent="0.2">
      <c r="A1" t="s">
        <v>5</v>
      </c>
      <c r="B1" t="s">
        <v>9</v>
      </c>
      <c r="C1" t="s">
        <v>28</v>
      </c>
      <c r="D1" t="s">
        <v>7</v>
      </c>
      <c r="E1" t="s">
        <v>30</v>
      </c>
      <c r="F1" t="s">
        <v>1</v>
      </c>
      <c r="G1" t="s">
        <v>14</v>
      </c>
      <c r="H1" t="s">
        <v>23</v>
      </c>
    </row>
    <row r="2" spans="1:8" x14ac:dyDescent="0.2">
      <c r="A2" s="3">
        <f>ROW()-ROW(tbCcf[[#Headers],['#]])-1</f>
        <v>0</v>
      </c>
      <c r="B2" t="s">
        <v>140</v>
      </c>
      <c r="C2" t="s">
        <v>141</v>
      </c>
      <c r="D2" t="s">
        <v>142</v>
      </c>
      <c r="E2">
        <v>4</v>
      </c>
      <c r="G2" t="s">
        <v>143</v>
      </c>
      <c r="H2" t="s">
        <v>144</v>
      </c>
    </row>
    <row r="3" spans="1:8" x14ac:dyDescent="0.2">
      <c r="A3" s="3">
        <f>ROW()-ROW(tbCcf[[#Headers],['#]])-1</f>
        <v>1</v>
      </c>
      <c r="B3" t="s">
        <v>145</v>
      </c>
      <c r="C3" t="s">
        <v>146</v>
      </c>
      <c r="D3" t="s">
        <v>142</v>
      </c>
      <c r="E3">
        <v>4</v>
      </c>
      <c r="G3" t="s">
        <v>143</v>
      </c>
      <c r="H3" t="s">
        <v>147</v>
      </c>
    </row>
    <row r="4" spans="1:8" x14ac:dyDescent="0.2">
      <c r="A4" s="3">
        <f>ROW()-ROW(tbCcf[[#Headers],['#]])-1</f>
        <v>2</v>
      </c>
      <c r="B4" t="s">
        <v>148</v>
      </c>
      <c r="C4" t="s">
        <v>149</v>
      </c>
      <c r="D4" t="s">
        <v>150</v>
      </c>
      <c r="E4">
        <v>1</v>
      </c>
      <c r="G4" t="s">
        <v>143</v>
      </c>
    </row>
    <row r="5" spans="1:8" x14ac:dyDescent="0.2">
      <c r="A5" s="3">
        <f>ROW()-ROW(tbCcf[[#Headers],['#]])-1</f>
        <v>3</v>
      </c>
      <c r="B5" t="s">
        <v>151</v>
      </c>
      <c r="C5" t="s">
        <v>152</v>
      </c>
      <c r="D5" t="s">
        <v>150</v>
      </c>
      <c r="E5">
        <v>1</v>
      </c>
      <c r="G5" t="s">
        <v>153</v>
      </c>
    </row>
    <row r="6" spans="1:8" x14ac:dyDescent="0.2">
      <c r="A6" s="3">
        <f>ROW()-ROW(tbCcf[[#Headers],['#]])-1</f>
        <v>4</v>
      </c>
      <c r="B6" t="s">
        <v>154</v>
      </c>
      <c r="C6" t="s">
        <v>155</v>
      </c>
      <c r="D6" t="s">
        <v>150</v>
      </c>
      <c r="E6">
        <v>1</v>
      </c>
      <c r="G6" t="s">
        <v>153</v>
      </c>
    </row>
    <row r="7" spans="1:8" x14ac:dyDescent="0.2">
      <c r="A7" s="3">
        <f>ROW()-ROW(tbCcf[[#Headers],['#]])-1</f>
        <v>5</v>
      </c>
      <c r="B7" t="s">
        <v>156</v>
      </c>
      <c r="C7" t="s">
        <v>157</v>
      </c>
      <c r="D7" t="s">
        <v>150</v>
      </c>
      <c r="E7">
        <v>1</v>
      </c>
      <c r="G7" t="s">
        <v>153</v>
      </c>
    </row>
    <row r="8" spans="1:8" x14ac:dyDescent="0.2">
      <c r="A8" s="3">
        <f>ROW()-ROW(tbCcf[[#Headers],['#]])-1</f>
        <v>6</v>
      </c>
      <c r="B8" t="s">
        <v>158</v>
      </c>
      <c r="C8" t="s">
        <v>159</v>
      </c>
      <c r="D8" t="s">
        <v>150</v>
      </c>
      <c r="E8">
        <v>1</v>
      </c>
      <c r="G8" t="s">
        <v>143</v>
      </c>
    </row>
    <row r="9" spans="1:8" x14ac:dyDescent="0.2">
      <c r="A9" s="3">
        <f>ROW()-ROW(tbCcf[[#Headers],['#]])-1</f>
        <v>7</v>
      </c>
      <c r="B9" t="s">
        <v>160</v>
      </c>
      <c r="C9" t="s">
        <v>161</v>
      </c>
      <c r="D9" t="s">
        <v>162</v>
      </c>
      <c r="E9">
        <v>2</v>
      </c>
      <c r="G9" t="s">
        <v>153</v>
      </c>
      <c r="H9" t="s">
        <v>163</v>
      </c>
    </row>
    <row r="10" spans="1:8" x14ac:dyDescent="0.2">
      <c r="A10" s="3">
        <f>ROW()-ROW(tbCcf[[#Headers],['#]])-1</f>
        <v>8</v>
      </c>
      <c r="B10" t="s">
        <v>164</v>
      </c>
      <c r="C10" t="s">
        <v>165</v>
      </c>
      <c r="D10" t="s">
        <v>162</v>
      </c>
      <c r="E10">
        <v>2</v>
      </c>
      <c r="G10" t="s">
        <v>143</v>
      </c>
    </row>
    <row r="11" spans="1:8" x14ac:dyDescent="0.2">
      <c r="A11" s="3">
        <f>ROW()-ROW(tbCcf[[#Headers],['#]])-1</f>
        <v>9</v>
      </c>
      <c r="B11" t="s">
        <v>166</v>
      </c>
      <c r="C11" t="s">
        <v>167</v>
      </c>
      <c r="D11" t="s">
        <v>168</v>
      </c>
      <c r="E11">
        <v>3</v>
      </c>
      <c r="G11" t="s">
        <v>143</v>
      </c>
    </row>
    <row r="12" spans="1:8" x14ac:dyDescent="0.2">
      <c r="A12" s="3">
        <f>ROW()-ROW(tbCcf[[#Headers],['#]])-1</f>
        <v>10</v>
      </c>
      <c r="B12" t="s">
        <v>169</v>
      </c>
      <c r="C12" t="s">
        <v>170</v>
      </c>
      <c r="D12" t="s">
        <v>168</v>
      </c>
      <c r="E12">
        <v>3</v>
      </c>
      <c r="G12" t="s">
        <v>143</v>
      </c>
      <c r="H12" t="s">
        <v>171</v>
      </c>
    </row>
    <row r="13" spans="1:8" x14ac:dyDescent="0.2">
      <c r="A13" s="3">
        <f>ROW()-ROW(tbCcf[[#Headers],['#]])-1</f>
        <v>11</v>
      </c>
      <c r="B13" t="s">
        <v>172</v>
      </c>
      <c r="C13" t="s">
        <v>173</v>
      </c>
      <c r="D13" t="s">
        <v>168</v>
      </c>
      <c r="E13">
        <v>3</v>
      </c>
      <c r="G13" t="s">
        <v>143</v>
      </c>
    </row>
    <row r="14" spans="1:8" x14ac:dyDescent="0.2">
      <c r="A14" s="3">
        <f>ROW()-ROW(tbCcf[[#Headers],['#]])-1</f>
        <v>12</v>
      </c>
      <c r="B14" t="s">
        <v>174</v>
      </c>
      <c r="C14" t="s">
        <v>175</v>
      </c>
      <c r="D14" t="s">
        <v>176</v>
      </c>
      <c r="E14">
        <v>9</v>
      </c>
      <c r="G14" t="s">
        <v>153</v>
      </c>
      <c r="H14" t="s">
        <v>177</v>
      </c>
    </row>
  </sheetData>
  <conditionalFormatting sqref="G2:G14">
    <cfRule type="cellIs" dxfId="38" priority="2" operator="equal">
      <formula>"outflow"</formula>
    </cfRule>
    <cfRule type="cellIs" dxfId="37" priority="3" operator="equal">
      <formula>"inflow"</formula>
    </cfRule>
  </conditionalFormatting>
  <conditionalFormatting sqref="B2:B14">
    <cfRule type="duplicateValues" dxfId="36" priority="315"/>
  </conditionalFormatting>
  <dataValidations count="2">
    <dataValidation type="list" allowBlank="1" showInputMessage="1" showErrorMessage="1" sqref="D2:D14" xr:uid="{2F6624F3-FF16-442F-AE8A-4562CE44778F}">
      <formula1>"OPERATING,INVESTING,FINANCING,OTHERS,#VOID"</formula1>
    </dataValidation>
    <dataValidation type="list" allowBlank="1" showInputMessage="1" showErrorMessage="1" sqref="G2:G14" xr:uid="{72FA73C8-366D-457E-A4B8-8945D91F1EE5}">
      <formula1>"inflow,outflow"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B093C-6E2E-4B9C-B5BB-1703E936B69C}">
  <sheetPr codeName="shJb">
    <tabColor theme="2" tint="-0.499984740745262"/>
  </sheetPr>
  <dimension ref="A1:H9"/>
  <sheetViews>
    <sheetView showGridLines="0" zoomScale="205" zoomScaleNormal="205" workbookViewId="0">
      <selection activeCell="C5" sqref="C5"/>
    </sheetView>
  </sheetViews>
  <sheetFormatPr defaultRowHeight="12.75" x14ac:dyDescent="0.2"/>
  <cols>
    <col min="1" max="1" width="4.140625" bestFit="1" customWidth="1"/>
    <col min="2" max="2" width="12.7109375" customWidth="1"/>
    <col min="3" max="3" width="45" customWidth="1"/>
    <col min="4" max="4" width="19.5703125" customWidth="1"/>
    <col min="5" max="5" width="8.7109375" bestFit="1" customWidth="1"/>
    <col min="6" max="6" width="7.42578125" customWidth="1"/>
    <col min="7" max="7" width="1.28515625" customWidth="1"/>
    <col min="8" max="9" width="15.7109375" customWidth="1"/>
  </cols>
  <sheetData>
    <row r="1" spans="1:8" x14ac:dyDescent="0.2">
      <c r="A1" s="20" t="s">
        <v>5</v>
      </c>
      <c r="B1" s="20" t="s">
        <v>9</v>
      </c>
      <c r="C1" s="20" t="s">
        <v>12</v>
      </c>
      <c r="D1" s="20" t="s">
        <v>14</v>
      </c>
      <c r="E1" s="20" t="s">
        <v>2</v>
      </c>
      <c r="F1" s="20" t="s">
        <v>77</v>
      </c>
      <c r="H1" t="s">
        <v>83</v>
      </c>
    </row>
    <row r="2" spans="1:8" x14ac:dyDescent="0.2">
      <c r="A2" s="14">
        <f>ROW()-ROW(tbBatch[[#Headers],['#]])</f>
        <v>1</v>
      </c>
      <c r="B2" t="s">
        <v>178</v>
      </c>
      <c r="C2" t="s">
        <v>179</v>
      </c>
      <c r="D2" t="s">
        <v>180</v>
      </c>
      <c r="E2" t="s">
        <v>181</v>
      </c>
      <c r="F2" t="b">
        <v>1</v>
      </c>
    </row>
    <row r="3" spans="1:8" x14ac:dyDescent="0.2">
      <c r="A3" s="14">
        <f>ROW()-ROW(tbBatch[[#Headers],['#]])</f>
        <v>2</v>
      </c>
      <c r="B3" t="s">
        <v>182</v>
      </c>
      <c r="C3" t="s">
        <v>183</v>
      </c>
      <c r="D3" t="s">
        <v>180</v>
      </c>
      <c r="E3" t="s">
        <v>181</v>
      </c>
      <c r="F3" t="b">
        <v>1</v>
      </c>
    </row>
    <row r="4" spans="1:8" x14ac:dyDescent="0.2">
      <c r="A4" s="14">
        <f>ROW()-ROW(tbBatch[[#Headers],['#]])</f>
        <v>3</v>
      </c>
      <c r="B4" t="s">
        <v>184</v>
      </c>
      <c r="C4" t="s">
        <v>185</v>
      </c>
      <c r="D4" t="s">
        <v>186</v>
      </c>
      <c r="E4" t="s">
        <v>181</v>
      </c>
      <c r="F4" t="b">
        <v>0</v>
      </c>
    </row>
    <row r="5" spans="1:8" x14ac:dyDescent="0.2">
      <c r="A5" s="14">
        <f>ROW()-ROW(tbBatch[[#Headers],['#]])</f>
        <v>4</v>
      </c>
      <c r="B5" t="s">
        <v>187</v>
      </c>
      <c r="C5" t="s">
        <v>188</v>
      </c>
      <c r="D5" t="s">
        <v>186</v>
      </c>
      <c r="E5" t="s">
        <v>181</v>
      </c>
      <c r="F5" t="b">
        <v>0</v>
      </c>
    </row>
    <row r="6" spans="1:8" x14ac:dyDescent="0.2">
      <c r="A6" s="14">
        <f>ROW()-ROW(tbBatch[[#Headers],['#]])</f>
        <v>5</v>
      </c>
      <c r="B6" t="s">
        <v>189</v>
      </c>
      <c r="C6" t="s">
        <v>147</v>
      </c>
      <c r="D6" t="s">
        <v>190</v>
      </c>
      <c r="E6" t="s">
        <v>181</v>
      </c>
      <c r="F6" t="b">
        <v>0</v>
      </c>
    </row>
    <row r="7" spans="1:8" x14ac:dyDescent="0.2">
      <c r="A7" s="14">
        <f>ROW()-ROW(tbBatch[[#Headers],['#]])</f>
        <v>6</v>
      </c>
      <c r="B7" t="s">
        <v>191</v>
      </c>
      <c r="C7" t="s">
        <v>192</v>
      </c>
      <c r="D7" t="s">
        <v>190</v>
      </c>
      <c r="E7" t="s">
        <v>181</v>
      </c>
      <c r="F7" t="b">
        <v>0</v>
      </c>
    </row>
    <row r="8" spans="1:8" x14ac:dyDescent="0.2">
      <c r="A8" s="14">
        <f>ROW()-ROW(tbBatch[[#Headers],['#]])</f>
        <v>7</v>
      </c>
      <c r="B8" t="s">
        <v>193</v>
      </c>
      <c r="C8" t="s">
        <v>194</v>
      </c>
      <c r="D8" t="s">
        <v>190</v>
      </c>
      <c r="E8" t="s">
        <v>181</v>
      </c>
      <c r="F8" t="b">
        <v>0</v>
      </c>
    </row>
    <row r="9" spans="1:8" x14ac:dyDescent="0.2">
      <c r="A9" s="14">
        <f>ROW()-ROW(tbBatch[[#Headers],['#]])</f>
        <v>8</v>
      </c>
      <c r="B9" t="s">
        <v>195</v>
      </c>
      <c r="C9" t="s">
        <v>196</v>
      </c>
      <c r="D9" t="s">
        <v>197</v>
      </c>
      <c r="E9" t="s">
        <v>198</v>
      </c>
      <c r="F9" t="b">
        <v>0</v>
      </c>
    </row>
  </sheetData>
  <conditionalFormatting sqref="F2:F9">
    <cfRule type="cellIs" dxfId="34" priority="1" operator="equal">
      <formula>FALSE</formula>
    </cfRule>
    <cfRule type="cellIs" dxfId="33" priority="2" operator="equal">
      <formula>TRUE</formula>
    </cfRule>
  </conditionalFormatting>
  <conditionalFormatting sqref="B2:B9">
    <cfRule type="duplicateValues" dxfId="32" priority="314"/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4FB7-61EA-429B-A16B-A8CE4B4E2032}">
  <sheetPr codeName="shCoa">
    <tabColor theme="2" tint="-0.499984740745262"/>
  </sheetPr>
  <dimension ref="A1:S11"/>
  <sheetViews>
    <sheetView showGridLines="0" zoomScale="120" zoomScaleNormal="120" workbookViewId="0">
      <selection activeCell="F9" sqref="F9"/>
    </sheetView>
  </sheetViews>
  <sheetFormatPr defaultRowHeight="12.75" x14ac:dyDescent="0.2"/>
  <cols>
    <col min="1" max="1" width="4.5703125" customWidth="1"/>
    <col min="2" max="2" width="8.42578125" customWidth="1"/>
    <col min="3" max="3" width="13.140625" customWidth="1"/>
    <col min="4" max="4" width="7.5703125" customWidth="1"/>
    <col min="5" max="5" width="39.5703125" hidden="1" customWidth="1"/>
    <col min="6" max="6" width="37" customWidth="1"/>
    <col min="7" max="7" width="7.85546875" bestFit="1" customWidth="1"/>
    <col min="8" max="9" width="8.42578125" customWidth="1"/>
    <col min="10" max="10" width="12.85546875" customWidth="1"/>
    <col min="11" max="11" width="21.42578125" customWidth="1"/>
    <col min="12" max="12" width="24.28515625" bestFit="1" customWidth="1"/>
    <col min="13" max="13" width="6.28515625" bestFit="1" customWidth="1"/>
    <col min="14" max="14" width="9.85546875" customWidth="1"/>
    <col min="15" max="15" width="8.28515625" customWidth="1"/>
    <col min="16" max="16" width="10.42578125" customWidth="1"/>
    <col min="17" max="17" width="8" customWidth="1"/>
    <col min="18" max="18" width="36.42578125" customWidth="1"/>
    <col min="19" max="19" width="50.5703125" customWidth="1"/>
    <col min="21" max="21" width="11.140625" customWidth="1"/>
  </cols>
  <sheetData>
    <row r="1" spans="1:19" x14ac:dyDescent="0.2">
      <c r="A1" s="1" t="s">
        <v>5</v>
      </c>
      <c r="B1" s="1" t="s">
        <v>25</v>
      </c>
      <c r="C1" s="1" t="s">
        <v>9</v>
      </c>
      <c r="D1" s="1" t="s">
        <v>73</v>
      </c>
      <c r="E1" s="1" t="s">
        <v>42</v>
      </c>
      <c r="F1" s="1" t="s">
        <v>20</v>
      </c>
      <c r="G1" s="1" t="s">
        <v>26</v>
      </c>
      <c r="H1" s="1" t="s">
        <v>21</v>
      </c>
      <c r="I1" s="1" t="s">
        <v>22</v>
      </c>
      <c r="J1" s="1" t="s">
        <v>7</v>
      </c>
      <c r="K1" s="1" t="s">
        <v>1</v>
      </c>
      <c r="L1" s="1" t="s">
        <v>27</v>
      </c>
      <c r="M1" s="1" t="s">
        <v>6</v>
      </c>
      <c r="N1" s="1" t="s">
        <v>76</v>
      </c>
      <c r="O1" s="1" t="s">
        <v>51</v>
      </c>
      <c r="P1" s="1" t="s">
        <v>52</v>
      </c>
      <c r="Q1" s="1" t="s">
        <v>35</v>
      </c>
      <c r="R1" s="1" t="s">
        <v>23</v>
      </c>
      <c r="S1" s="1" t="s">
        <v>28</v>
      </c>
    </row>
    <row r="2" spans="1:19" x14ac:dyDescent="0.2">
      <c r="A2" s="3">
        <f>ROW()-ROW(tbCoa[[#Headers],['#]])</f>
        <v>1</v>
      </c>
      <c r="B2" s="15"/>
      <c r="F2" s="22"/>
      <c r="G2" s="1"/>
      <c r="H2" s="1"/>
      <c r="I2" s="1"/>
      <c r="J2" s="4" t="e">
        <f>VLOOKUP(tbCoa[[#This Row],[Group]],tbGroup[[Group]:[Head]],2,FALSE)</f>
        <v>#N/A</v>
      </c>
      <c r="M2" s="4" t="e">
        <f>VLOOKUP(tbCoa[[#This Row],[Group]],tbGroup[[Group]:[Rep]],3,FALSE)</f>
        <v>#N/A</v>
      </c>
      <c r="N2" s="4"/>
      <c r="O2" s="16"/>
      <c r="P2" s="4" t="e">
        <f>INDEX(tbCOSG['#],MATCH(tbCoa[[#This Row],[CosGr]],tbCOSG[code],0))</f>
        <v>#N/A</v>
      </c>
      <c r="Q2" s="1"/>
      <c r="S2" s="22" t="str">
        <f>tbCoa[[#This Row],[Number]]&amp;"|"&amp;tbCoa[[#This Row],[Account Name]]&amp;" ("&amp;tbCoa[[#This Row],[Code]]&amp;")"</f>
        <v>| ()</v>
      </c>
    </row>
    <row r="3" spans="1:19" x14ac:dyDescent="0.2">
      <c r="A3" s="3">
        <f>ROW()-ROW(tbCoa[[#Headers],['#]])</f>
        <v>2</v>
      </c>
      <c r="B3" s="15"/>
      <c r="F3" s="22"/>
      <c r="G3" s="1"/>
      <c r="H3" s="1"/>
      <c r="I3" s="1"/>
      <c r="J3" s="4" t="e">
        <f>VLOOKUP(tbCoa[[#This Row],[Group]],tbGroup[[Group]:[Head]],2,FALSE)</f>
        <v>#N/A</v>
      </c>
      <c r="M3" s="4" t="e">
        <f>VLOOKUP(tbCoa[[#This Row],[Group]],tbGroup[[Group]:[Rep]],3,FALSE)</f>
        <v>#N/A</v>
      </c>
      <c r="N3" s="4"/>
      <c r="O3" s="16"/>
      <c r="P3" s="4" t="e">
        <f>INDEX(tbCOSG['#],MATCH(tbCoa[[#This Row],[CosGr]],tbCOSG[code],0))</f>
        <v>#N/A</v>
      </c>
      <c r="Q3" s="1"/>
      <c r="S3" s="22" t="str">
        <f>tbCoa[[#This Row],[Number]]&amp;"|"&amp;tbCoa[[#This Row],[Account Name]]&amp;" ("&amp;tbCoa[[#This Row],[Code]]&amp;")"</f>
        <v>| ()</v>
      </c>
    </row>
    <row r="4" spans="1:19" x14ac:dyDescent="0.2">
      <c r="A4" s="3">
        <f>ROW()-ROW(tbCoa[[#Headers],['#]])</f>
        <v>3</v>
      </c>
      <c r="B4" s="15"/>
      <c r="F4" s="22"/>
      <c r="G4" s="1"/>
      <c r="H4" s="1"/>
      <c r="I4" s="1"/>
      <c r="J4" s="4" t="e">
        <f>VLOOKUP(tbCoa[[#This Row],[Group]],tbGroup[[Group]:[Head]],2,FALSE)</f>
        <v>#N/A</v>
      </c>
      <c r="M4" s="4" t="e">
        <f>VLOOKUP(tbCoa[[#This Row],[Group]],tbGroup[[Group]:[Rep]],3,FALSE)</f>
        <v>#N/A</v>
      </c>
      <c r="N4" s="4"/>
      <c r="O4" s="16"/>
      <c r="P4" s="4" t="e">
        <f>INDEX(tbCOSG['#],MATCH(tbCoa[[#This Row],[CosGr]],tbCOSG[code],0))</f>
        <v>#N/A</v>
      </c>
      <c r="Q4" s="1"/>
      <c r="S4" s="22" t="str">
        <f>tbCoa[[#This Row],[Number]]&amp;"|"&amp;tbCoa[[#This Row],[Account Name]]&amp;" ("&amp;tbCoa[[#This Row],[Code]]&amp;")"</f>
        <v>| ()</v>
      </c>
    </row>
    <row r="5" spans="1:19" x14ac:dyDescent="0.2">
      <c r="A5" s="3">
        <f>ROW()-ROW(tbCoa[[#Headers],['#]])</f>
        <v>4</v>
      </c>
      <c r="B5" s="15"/>
      <c r="F5" s="22"/>
      <c r="G5" s="1"/>
      <c r="H5" s="1"/>
      <c r="I5" s="1"/>
      <c r="J5" s="4" t="e">
        <f>VLOOKUP(tbCoa[[#This Row],[Group]],tbGroup[[Group]:[Head]],2,FALSE)</f>
        <v>#N/A</v>
      </c>
      <c r="M5" s="4" t="e">
        <f>VLOOKUP(tbCoa[[#This Row],[Group]],tbGroup[[Group]:[Rep]],3,FALSE)</f>
        <v>#N/A</v>
      </c>
      <c r="N5" s="4"/>
      <c r="O5" s="16"/>
      <c r="P5" s="4" t="e">
        <f>INDEX(tbCOSG['#],MATCH(tbCoa[[#This Row],[CosGr]],tbCOSG[code],0))</f>
        <v>#N/A</v>
      </c>
      <c r="Q5" s="1"/>
      <c r="S5" s="22" t="str">
        <f>tbCoa[[#This Row],[Number]]&amp;"|"&amp;tbCoa[[#This Row],[Account Name]]&amp;" ("&amp;tbCoa[[#This Row],[Code]]&amp;")"</f>
        <v>| ()</v>
      </c>
    </row>
    <row r="6" spans="1:19" x14ac:dyDescent="0.2">
      <c r="A6" s="3">
        <f>ROW()-ROW(tbCoa[[#Headers],['#]])</f>
        <v>5</v>
      </c>
      <c r="B6" s="15"/>
      <c r="F6" s="22"/>
      <c r="G6" s="1"/>
      <c r="H6" s="1"/>
      <c r="I6" s="1"/>
      <c r="J6" s="4" t="e">
        <f>VLOOKUP(tbCoa[[#This Row],[Group]],tbGroup[[Group]:[Head]],2,FALSE)</f>
        <v>#N/A</v>
      </c>
      <c r="M6" s="4" t="e">
        <f>VLOOKUP(tbCoa[[#This Row],[Group]],tbGroup[[Group]:[Rep]],3,FALSE)</f>
        <v>#N/A</v>
      </c>
      <c r="N6" s="4"/>
      <c r="O6" s="16"/>
      <c r="P6" s="4" t="e">
        <f>INDEX(tbCOSG['#],MATCH(tbCoa[[#This Row],[CosGr]],tbCOSG[code],0))</f>
        <v>#N/A</v>
      </c>
      <c r="Q6" s="1"/>
      <c r="S6" s="22" t="str">
        <f>tbCoa[[#This Row],[Number]]&amp;"|"&amp;tbCoa[[#This Row],[Account Name]]&amp;" ("&amp;tbCoa[[#This Row],[Code]]&amp;")"</f>
        <v>| ()</v>
      </c>
    </row>
    <row r="7" spans="1:19" x14ac:dyDescent="0.2">
      <c r="A7" s="3">
        <f>ROW()-ROW(tbCoa[[#Headers],['#]])</f>
        <v>6</v>
      </c>
      <c r="B7" s="15"/>
      <c r="F7" s="22"/>
      <c r="G7" s="1"/>
      <c r="H7" s="1"/>
      <c r="I7" s="1"/>
      <c r="J7" s="4" t="e">
        <f>VLOOKUP(tbCoa[[#This Row],[Group]],tbGroup[[Group]:[Head]],2,FALSE)</f>
        <v>#N/A</v>
      </c>
      <c r="M7" s="4" t="e">
        <f>VLOOKUP(tbCoa[[#This Row],[Group]],tbGroup[[Group]:[Rep]],3,FALSE)</f>
        <v>#N/A</v>
      </c>
      <c r="N7" s="4"/>
      <c r="O7" s="16"/>
      <c r="P7" s="4" t="e">
        <f>INDEX(tbCOSG['#],MATCH(tbCoa[[#This Row],[CosGr]],tbCOSG[code],0))</f>
        <v>#N/A</v>
      </c>
      <c r="Q7" s="1"/>
      <c r="S7" s="22" t="str">
        <f>tbCoa[[#This Row],[Number]]&amp;"|"&amp;tbCoa[[#This Row],[Account Name]]&amp;" ("&amp;tbCoa[[#This Row],[Code]]&amp;")"</f>
        <v>| ()</v>
      </c>
    </row>
    <row r="8" spans="1:19" x14ac:dyDescent="0.2">
      <c r="A8" s="3">
        <f>ROW()-ROW(tbCoa[[#Headers],['#]])</f>
        <v>7</v>
      </c>
      <c r="B8" s="15"/>
      <c r="F8" s="22"/>
      <c r="G8" s="1"/>
      <c r="H8" s="1"/>
      <c r="I8" s="1"/>
      <c r="J8" s="4" t="e">
        <f>VLOOKUP(tbCoa[[#This Row],[Group]],tbGroup[[Group]:[Head]],2,FALSE)</f>
        <v>#N/A</v>
      </c>
      <c r="M8" s="4" t="e">
        <f>VLOOKUP(tbCoa[[#This Row],[Group]],tbGroup[[Group]:[Rep]],3,FALSE)</f>
        <v>#N/A</v>
      </c>
      <c r="N8" s="4"/>
      <c r="O8" s="16"/>
      <c r="P8" s="4" t="e">
        <f>INDEX(tbCOSG['#],MATCH(tbCoa[[#This Row],[CosGr]],tbCOSG[code],0))</f>
        <v>#N/A</v>
      </c>
      <c r="Q8" s="1"/>
      <c r="S8" s="22" t="str">
        <f>tbCoa[[#This Row],[Number]]&amp;"|"&amp;tbCoa[[#This Row],[Account Name]]&amp;" ("&amp;tbCoa[[#This Row],[Code]]&amp;")"</f>
        <v>| ()</v>
      </c>
    </row>
    <row r="9" spans="1:19" x14ac:dyDescent="0.2">
      <c r="A9" s="3">
        <f>ROW()-ROW(tbCoa[[#Headers],['#]])</f>
        <v>8</v>
      </c>
      <c r="B9" s="15"/>
      <c r="F9" s="22"/>
      <c r="G9" s="1"/>
      <c r="H9" s="1"/>
      <c r="I9" s="1"/>
      <c r="J9" s="4" t="e">
        <f>VLOOKUP(tbCoa[[#This Row],[Group]],tbGroup[[Group]:[Head]],2,FALSE)</f>
        <v>#N/A</v>
      </c>
      <c r="M9" s="4" t="e">
        <f>VLOOKUP(tbCoa[[#This Row],[Group]],tbGroup[[Group]:[Rep]],3,FALSE)</f>
        <v>#N/A</v>
      </c>
      <c r="N9" s="4"/>
      <c r="O9" s="16"/>
      <c r="P9" s="4" t="e">
        <f>INDEX(tbCOSG['#],MATCH(tbCoa[[#This Row],[CosGr]],tbCOSG[code],0))</f>
        <v>#N/A</v>
      </c>
      <c r="Q9" s="1"/>
      <c r="S9" s="22" t="str">
        <f>tbCoa[[#This Row],[Number]]&amp;"|"&amp;tbCoa[[#This Row],[Account Name]]&amp;" ("&amp;tbCoa[[#This Row],[Code]]&amp;")"</f>
        <v>| ()</v>
      </c>
    </row>
    <row r="10" spans="1:19" x14ac:dyDescent="0.2">
      <c r="A10" s="3">
        <f>ROW()-ROW(tbCoa[[#Headers],['#]])</f>
        <v>9</v>
      </c>
      <c r="B10" s="15"/>
      <c r="F10" s="22"/>
      <c r="G10" s="1"/>
      <c r="H10" s="1"/>
      <c r="I10" s="1"/>
      <c r="J10" s="4" t="e">
        <f>VLOOKUP(tbCoa[[#This Row],[Group]],tbGroup[[Group]:[Head]],2,FALSE)</f>
        <v>#N/A</v>
      </c>
      <c r="M10" s="4" t="e">
        <f>VLOOKUP(tbCoa[[#This Row],[Group]],tbGroup[[Group]:[Rep]],3,FALSE)</f>
        <v>#N/A</v>
      </c>
      <c r="N10" s="4"/>
      <c r="O10" s="16"/>
      <c r="P10" s="4" t="e">
        <f>INDEX(tbCOSG['#],MATCH(tbCoa[[#This Row],[CosGr]],tbCOSG[code],0))</f>
        <v>#N/A</v>
      </c>
      <c r="Q10" s="1"/>
      <c r="S10" s="22" t="str">
        <f>tbCoa[[#This Row],[Number]]&amp;"|"&amp;tbCoa[[#This Row],[Account Name]]&amp;" ("&amp;tbCoa[[#This Row],[Code]]&amp;")"</f>
        <v>| ()</v>
      </c>
    </row>
    <row r="11" spans="1:19" x14ac:dyDescent="0.2">
      <c r="A11" s="3">
        <f>ROW()-ROW(tbCoa[[#Headers],['#]])</f>
        <v>10</v>
      </c>
      <c r="B11" s="15"/>
      <c r="F11" s="22"/>
      <c r="G11" s="1"/>
      <c r="H11" s="1"/>
      <c r="I11" s="1"/>
      <c r="J11" s="4" t="e">
        <f>VLOOKUP(tbCoa[[#This Row],[Group]],tbGroup[[Group]:[Head]],2,FALSE)</f>
        <v>#N/A</v>
      </c>
      <c r="M11" s="4" t="e">
        <f>VLOOKUP(tbCoa[[#This Row],[Group]],tbGroup[[Group]:[Rep]],3,FALSE)</f>
        <v>#N/A</v>
      </c>
      <c r="N11" s="4"/>
      <c r="O11" s="16"/>
      <c r="P11" s="4" t="e">
        <f>INDEX(tbCOSG['#],MATCH(tbCoa[[#This Row],[CosGr]],tbCOSG[code],0))</f>
        <v>#N/A</v>
      </c>
      <c r="Q11" s="1"/>
      <c r="S11" s="22" t="str">
        <f>tbCoa[[#This Row],[Number]]&amp;"|"&amp;tbCoa[[#This Row],[Account Name]]&amp;" ("&amp;tbCoa[[#This Row],[Code]]&amp;")"</f>
        <v>| ()</v>
      </c>
    </row>
  </sheetData>
  <conditionalFormatting sqref="A2:R11">
    <cfRule type="expression" dxfId="29" priority="3">
      <formula>$H2="Yes"</formula>
    </cfRule>
  </conditionalFormatting>
  <conditionalFormatting sqref="A2:S11">
    <cfRule type="expression" dxfId="28" priority="2">
      <formula>$I2="Deactive"</formula>
    </cfRule>
  </conditionalFormatting>
  <conditionalFormatting sqref="B2:B11">
    <cfRule type="duplicateValues" dxfId="27" priority="327"/>
  </conditionalFormatting>
  <conditionalFormatting sqref="C2:C11">
    <cfRule type="duplicateValues" dxfId="26" priority="328"/>
  </conditionalFormatting>
  <conditionalFormatting sqref="E2:E11">
    <cfRule type="duplicateValues" dxfId="25" priority="329"/>
  </conditionalFormatting>
  <dataValidations count="7">
    <dataValidation type="list" allowBlank="1" showInputMessage="1" showErrorMessage="1" sqref="K2:K11" xr:uid="{509796A6-4539-4426-8530-72CC41806612}">
      <formula1>_group</formula1>
    </dataValidation>
    <dataValidation type="list" allowBlank="1" showInputMessage="1" showErrorMessage="1" sqref="L2:L11" xr:uid="{97E033B1-B32A-40A8-B840-BCA6475BE78D}">
      <formula1>_sgroup</formula1>
    </dataValidation>
    <dataValidation type="list" allowBlank="1" showInputMessage="1" showErrorMessage="1" sqref="O2:O11" xr:uid="{8D9D8A01-408E-4268-B0AC-12DA3108E867}">
      <formula1>_cosGroup</formula1>
    </dataValidation>
    <dataValidation type="list" allowBlank="1" showInputMessage="1" showErrorMessage="1" sqref="H2:H11" xr:uid="{DE750E6F-9BD0-41E1-A910-C36A968BB9CC}">
      <formula1>"yes"</formula1>
    </dataValidation>
    <dataValidation type="list" allowBlank="1" showInputMessage="1" showErrorMessage="1" sqref="Q2:Q11" xr:uid="{EB8AE3E2-8D03-47F8-A16F-813D32E88C35}">
      <formula1>"yes,no"</formula1>
    </dataValidation>
    <dataValidation type="list" allowBlank="1" showInputMessage="1" showErrorMessage="1" sqref="D2:D11" xr:uid="{82102F2D-238C-44B3-B2BF-E82A2C34D590}">
      <formula1>_coatax</formula1>
    </dataValidation>
    <dataValidation type="list" allowBlank="1" showInputMessage="1" showErrorMessage="1" sqref="N2:N11" xr:uid="{DAD2F4DE-4139-443D-90C2-9EF6162CAA48}">
      <formula1>_ccf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4477-7A14-451E-81A6-1D3CA4443FE3}">
  <sheetPr codeName="Sheet1">
    <tabColor theme="2" tint="-0.499984740745262"/>
  </sheetPr>
  <dimension ref="A1:G89"/>
  <sheetViews>
    <sheetView showGridLines="0" topLeftCell="A58" zoomScale="145" zoomScaleNormal="145" workbookViewId="0">
      <selection activeCell="C89" sqref="C89"/>
    </sheetView>
  </sheetViews>
  <sheetFormatPr defaultRowHeight="12.75" x14ac:dyDescent="0.2"/>
  <cols>
    <col min="1" max="1" width="4.5703125" customWidth="1"/>
    <col min="2" max="2" width="7.28515625" customWidth="1"/>
    <col min="3" max="3" width="75.140625" customWidth="1"/>
    <col min="4" max="4" width="21.42578125" bestFit="1" customWidth="1"/>
    <col min="5" max="5" width="22" bestFit="1" customWidth="1"/>
    <col min="6" max="6" width="22" customWidth="1"/>
    <col min="7" max="7" width="5.5703125" bestFit="1" customWidth="1"/>
  </cols>
  <sheetData>
    <row r="1" spans="1:7" x14ac:dyDescent="0.2">
      <c r="A1" t="s">
        <v>5</v>
      </c>
      <c r="B1" t="s">
        <v>9</v>
      </c>
      <c r="C1" t="s">
        <v>20</v>
      </c>
      <c r="D1" t="s">
        <v>1</v>
      </c>
      <c r="E1" t="s">
        <v>14</v>
      </c>
      <c r="F1" t="s">
        <v>2</v>
      </c>
      <c r="G1" t="s">
        <v>74</v>
      </c>
    </row>
    <row r="2" spans="1:7" x14ac:dyDescent="0.2">
      <c r="A2" s="5">
        <f t="shared" ref="A2:A3" si="0">ROW()-1</f>
        <v>1</v>
      </c>
      <c r="B2">
        <v>1101</v>
      </c>
      <c r="C2" t="s">
        <v>206</v>
      </c>
      <c r="D2" t="s">
        <v>207</v>
      </c>
      <c r="E2" t="s">
        <v>208</v>
      </c>
      <c r="F2" t="s">
        <v>209</v>
      </c>
      <c r="G2">
        <v>1</v>
      </c>
    </row>
    <row r="3" spans="1:7" x14ac:dyDescent="0.2">
      <c r="A3" s="5">
        <f t="shared" si="0"/>
        <v>2</v>
      </c>
      <c r="B3">
        <v>1200</v>
      </c>
      <c r="C3" t="s">
        <v>210</v>
      </c>
      <c r="D3" t="s">
        <v>207</v>
      </c>
      <c r="E3" t="s">
        <v>208</v>
      </c>
      <c r="F3" t="s">
        <v>209</v>
      </c>
      <c r="G3">
        <v>1</v>
      </c>
    </row>
    <row r="4" spans="1:7" x14ac:dyDescent="0.2">
      <c r="A4" s="5">
        <f t="shared" ref="A4:A8" si="1">ROW()-1</f>
        <v>3</v>
      </c>
      <c r="B4">
        <v>1122</v>
      </c>
      <c r="C4" t="s">
        <v>211</v>
      </c>
      <c r="D4" t="s">
        <v>207</v>
      </c>
      <c r="E4" t="s">
        <v>208</v>
      </c>
      <c r="F4" t="s">
        <v>209</v>
      </c>
      <c r="G4">
        <v>1</v>
      </c>
    </row>
    <row r="5" spans="1:7" x14ac:dyDescent="0.2">
      <c r="A5" s="5">
        <f t="shared" si="1"/>
        <v>4</v>
      </c>
      <c r="B5">
        <v>1123</v>
      </c>
      <c r="C5" t="s">
        <v>212</v>
      </c>
      <c r="D5" t="s">
        <v>207</v>
      </c>
      <c r="E5" t="s">
        <v>208</v>
      </c>
      <c r="F5" t="s">
        <v>209</v>
      </c>
      <c r="G5">
        <v>1</v>
      </c>
    </row>
    <row r="6" spans="1:7" x14ac:dyDescent="0.2">
      <c r="A6" s="5">
        <f t="shared" si="1"/>
        <v>5</v>
      </c>
      <c r="B6">
        <v>1124</v>
      </c>
      <c r="C6" t="s">
        <v>213</v>
      </c>
      <c r="D6" t="s">
        <v>207</v>
      </c>
      <c r="E6" t="s">
        <v>208</v>
      </c>
      <c r="F6" t="s">
        <v>209</v>
      </c>
      <c r="G6">
        <v>1</v>
      </c>
    </row>
    <row r="7" spans="1:7" x14ac:dyDescent="0.2">
      <c r="A7" s="5">
        <f t="shared" si="1"/>
        <v>6</v>
      </c>
      <c r="B7">
        <v>1125</v>
      </c>
      <c r="C7" t="s">
        <v>214</v>
      </c>
      <c r="D7" t="s">
        <v>207</v>
      </c>
      <c r="E7" t="s">
        <v>208</v>
      </c>
      <c r="F7" t="s">
        <v>209</v>
      </c>
      <c r="G7">
        <v>1</v>
      </c>
    </row>
    <row r="8" spans="1:7" x14ac:dyDescent="0.2">
      <c r="A8" s="5">
        <f t="shared" si="1"/>
        <v>7</v>
      </c>
      <c r="B8">
        <v>1181</v>
      </c>
      <c r="C8" t="s">
        <v>215</v>
      </c>
      <c r="D8" t="s">
        <v>207</v>
      </c>
      <c r="E8" t="s">
        <v>208</v>
      </c>
      <c r="F8" t="s">
        <v>209</v>
      </c>
      <c r="G8">
        <v>1</v>
      </c>
    </row>
    <row r="9" spans="1:7" x14ac:dyDescent="0.2">
      <c r="A9" s="5">
        <f t="shared" ref="A9:A40" si="2">ROW()-1</f>
        <v>8</v>
      </c>
      <c r="B9">
        <v>1131</v>
      </c>
      <c r="C9" t="s">
        <v>216</v>
      </c>
      <c r="D9" t="s">
        <v>207</v>
      </c>
      <c r="E9" t="s">
        <v>208</v>
      </c>
      <c r="F9" t="s">
        <v>209</v>
      </c>
      <c r="G9">
        <v>1</v>
      </c>
    </row>
    <row r="10" spans="1:7" x14ac:dyDescent="0.2">
      <c r="A10" s="5">
        <f t="shared" si="2"/>
        <v>9</v>
      </c>
      <c r="B10">
        <v>1401</v>
      </c>
      <c r="C10" t="s">
        <v>93</v>
      </c>
      <c r="D10" t="s">
        <v>207</v>
      </c>
      <c r="E10" t="s">
        <v>208</v>
      </c>
      <c r="F10" t="s">
        <v>209</v>
      </c>
      <c r="G10">
        <v>1</v>
      </c>
    </row>
    <row r="11" spans="1:7" x14ac:dyDescent="0.2">
      <c r="A11" s="5">
        <f t="shared" si="2"/>
        <v>10</v>
      </c>
      <c r="B11">
        <v>1423</v>
      </c>
      <c r="C11" t="s">
        <v>217</v>
      </c>
      <c r="D11" t="s">
        <v>207</v>
      </c>
      <c r="E11" t="s">
        <v>208</v>
      </c>
      <c r="F11" t="s">
        <v>209</v>
      </c>
      <c r="G11">
        <v>1</v>
      </c>
    </row>
    <row r="12" spans="1:7" x14ac:dyDescent="0.2">
      <c r="A12" s="5">
        <f t="shared" si="2"/>
        <v>11</v>
      </c>
      <c r="B12">
        <v>1421</v>
      </c>
      <c r="C12" t="s">
        <v>218</v>
      </c>
      <c r="D12" t="s">
        <v>207</v>
      </c>
      <c r="E12" t="s">
        <v>208</v>
      </c>
      <c r="F12" t="s">
        <v>209</v>
      </c>
      <c r="G12">
        <v>1</v>
      </c>
    </row>
    <row r="13" spans="1:7" x14ac:dyDescent="0.2">
      <c r="A13" s="5">
        <f t="shared" si="2"/>
        <v>12</v>
      </c>
      <c r="B13">
        <v>1422</v>
      </c>
      <c r="C13" t="s">
        <v>219</v>
      </c>
      <c r="D13" t="s">
        <v>207</v>
      </c>
      <c r="E13" t="s">
        <v>208</v>
      </c>
      <c r="F13" t="s">
        <v>209</v>
      </c>
      <c r="G13">
        <v>1</v>
      </c>
    </row>
    <row r="14" spans="1:7" x14ac:dyDescent="0.2">
      <c r="A14" s="5">
        <f t="shared" si="2"/>
        <v>13</v>
      </c>
      <c r="B14">
        <v>1499</v>
      </c>
      <c r="C14" t="s">
        <v>220</v>
      </c>
      <c r="D14" t="s">
        <v>207</v>
      </c>
      <c r="E14" t="s">
        <v>208</v>
      </c>
      <c r="F14" t="s">
        <v>209</v>
      </c>
      <c r="G14">
        <v>1</v>
      </c>
    </row>
    <row r="15" spans="1:7" x14ac:dyDescent="0.2">
      <c r="A15" s="5">
        <f t="shared" si="2"/>
        <v>14</v>
      </c>
      <c r="B15">
        <v>1501</v>
      </c>
      <c r="C15" t="s">
        <v>221</v>
      </c>
      <c r="D15" t="s">
        <v>222</v>
      </c>
      <c r="E15" t="s">
        <v>208</v>
      </c>
      <c r="F15" t="s">
        <v>209</v>
      </c>
      <c r="G15">
        <v>2</v>
      </c>
    </row>
    <row r="16" spans="1:7" x14ac:dyDescent="0.2">
      <c r="A16" s="5">
        <f t="shared" si="2"/>
        <v>15</v>
      </c>
      <c r="B16">
        <v>1520</v>
      </c>
      <c r="C16" t="s">
        <v>223</v>
      </c>
      <c r="D16" t="s">
        <v>222</v>
      </c>
      <c r="E16" t="s">
        <v>208</v>
      </c>
      <c r="F16" t="s">
        <v>209</v>
      </c>
      <c r="G16">
        <v>2</v>
      </c>
    </row>
    <row r="17" spans="1:7" x14ac:dyDescent="0.2">
      <c r="A17" s="5">
        <f t="shared" si="2"/>
        <v>16</v>
      </c>
      <c r="B17">
        <v>1523</v>
      </c>
      <c r="C17" t="s">
        <v>224</v>
      </c>
      <c r="D17" t="s">
        <v>222</v>
      </c>
      <c r="E17" t="s">
        <v>208</v>
      </c>
      <c r="F17" t="s">
        <v>209</v>
      </c>
      <c r="G17">
        <v>2</v>
      </c>
    </row>
    <row r="18" spans="1:7" x14ac:dyDescent="0.2">
      <c r="A18" s="5">
        <f t="shared" si="2"/>
        <v>17</v>
      </c>
      <c r="B18">
        <v>1524</v>
      </c>
      <c r="C18" t="s">
        <v>225</v>
      </c>
      <c r="D18" t="s">
        <v>222</v>
      </c>
      <c r="E18" t="s">
        <v>208</v>
      </c>
      <c r="F18" t="s">
        <v>209</v>
      </c>
      <c r="G18">
        <v>2</v>
      </c>
    </row>
    <row r="19" spans="1:7" x14ac:dyDescent="0.2">
      <c r="A19" s="5">
        <f t="shared" si="2"/>
        <v>18</v>
      </c>
      <c r="B19">
        <v>1529</v>
      </c>
      <c r="C19" t="s">
        <v>226</v>
      </c>
      <c r="D19" t="s">
        <v>222</v>
      </c>
      <c r="E19" t="s">
        <v>208</v>
      </c>
      <c r="F19" t="s">
        <v>209</v>
      </c>
      <c r="G19">
        <v>2</v>
      </c>
    </row>
    <row r="20" spans="1:7" x14ac:dyDescent="0.2">
      <c r="A20" s="5">
        <f t="shared" si="2"/>
        <v>19</v>
      </c>
      <c r="B20">
        <v>1530</v>
      </c>
      <c r="C20" t="s">
        <v>227</v>
      </c>
      <c r="D20" t="s">
        <v>222</v>
      </c>
      <c r="E20" t="s">
        <v>208</v>
      </c>
      <c r="F20" t="s">
        <v>209</v>
      </c>
      <c r="G20">
        <v>2</v>
      </c>
    </row>
    <row r="21" spans="1:7" x14ac:dyDescent="0.2">
      <c r="A21" s="5">
        <f t="shared" si="2"/>
        <v>20</v>
      </c>
      <c r="B21">
        <v>1533</v>
      </c>
      <c r="C21" t="s">
        <v>228</v>
      </c>
      <c r="D21" t="s">
        <v>222</v>
      </c>
      <c r="E21" t="s">
        <v>208</v>
      </c>
      <c r="F21" t="s">
        <v>209</v>
      </c>
      <c r="G21">
        <v>2</v>
      </c>
    </row>
    <row r="22" spans="1:7" x14ac:dyDescent="0.2">
      <c r="A22" s="5">
        <f t="shared" si="2"/>
        <v>21</v>
      </c>
      <c r="B22">
        <v>1534</v>
      </c>
      <c r="C22" t="s">
        <v>229</v>
      </c>
      <c r="D22" t="s">
        <v>222</v>
      </c>
      <c r="E22" t="s">
        <v>208</v>
      </c>
      <c r="F22" t="s">
        <v>209</v>
      </c>
      <c r="G22">
        <v>2</v>
      </c>
    </row>
    <row r="23" spans="1:7" x14ac:dyDescent="0.2">
      <c r="A23" s="5">
        <f t="shared" si="2"/>
        <v>22</v>
      </c>
      <c r="B23">
        <v>1551</v>
      </c>
      <c r="C23" t="s">
        <v>230</v>
      </c>
      <c r="D23" t="s">
        <v>222</v>
      </c>
      <c r="E23" t="s">
        <v>208</v>
      </c>
      <c r="F23" t="s">
        <v>209</v>
      </c>
      <c r="G23">
        <v>2</v>
      </c>
    </row>
    <row r="24" spans="1:7" x14ac:dyDescent="0.2">
      <c r="A24" s="5">
        <f t="shared" si="2"/>
        <v>23</v>
      </c>
      <c r="B24">
        <v>1599</v>
      </c>
      <c r="C24" t="s">
        <v>231</v>
      </c>
      <c r="D24" t="s">
        <v>222</v>
      </c>
      <c r="E24" t="s">
        <v>208</v>
      </c>
      <c r="F24" t="s">
        <v>209</v>
      </c>
      <c r="G24">
        <v>2</v>
      </c>
    </row>
    <row r="25" spans="1:7" x14ac:dyDescent="0.2">
      <c r="A25" s="5">
        <f t="shared" si="2"/>
        <v>24</v>
      </c>
      <c r="B25">
        <v>1600</v>
      </c>
      <c r="C25" t="s">
        <v>232</v>
      </c>
      <c r="D25" t="s">
        <v>222</v>
      </c>
      <c r="E25" t="s">
        <v>208</v>
      </c>
      <c r="F25" t="s">
        <v>209</v>
      </c>
      <c r="G25">
        <v>2</v>
      </c>
    </row>
    <row r="26" spans="1:7" x14ac:dyDescent="0.2">
      <c r="A26" s="5">
        <f t="shared" si="2"/>
        <v>25</v>
      </c>
      <c r="B26">
        <v>1601</v>
      </c>
      <c r="C26" t="s">
        <v>233</v>
      </c>
      <c r="D26" t="s">
        <v>222</v>
      </c>
      <c r="E26" t="s">
        <v>208</v>
      </c>
      <c r="F26" t="s">
        <v>209</v>
      </c>
      <c r="G26">
        <v>2</v>
      </c>
    </row>
    <row r="27" spans="1:7" x14ac:dyDescent="0.2">
      <c r="A27" s="5">
        <f t="shared" si="2"/>
        <v>26</v>
      </c>
      <c r="B27">
        <v>1611</v>
      </c>
      <c r="C27" t="s">
        <v>234</v>
      </c>
      <c r="D27" t="s">
        <v>222</v>
      </c>
      <c r="E27" t="s">
        <v>208</v>
      </c>
      <c r="F27" t="s">
        <v>209</v>
      </c>
      <c r="G27">
        <v>2</v>
      </c>
    </row>
    <row r="28" spans="1:7" x14ac:dyDescent="0.2">
      <c r="A28" s="5">
        <f t="shared" si="2"/>
        <v>27</v>
      </c>
      <c r="B28">
        <v>1651</v>
      </c>
      <c r="C28" t="s">
        <v>235</v>
      </c>
      <c r="D28" t="s">
        <v>222</v>
      </c>
      <c r="E28" t="s">
        <v>208</v>
      </c>
      <c r="F28" t="s">
        <v>209</v>
      </c>
      <c r="G28">
        <v>2</v>
      </c>
    </row>
    <row r="29" spans="1:7" x14ac:dyDescent="0.2">
      <c r="A29" s="5">
        <f t="shared" si="2"/>
        <v>28</v>
      </c>
      <c r="B29">
        <v>1658</v>
      </c>
      <c r="C29" t="s">
        <v>236</v>
      </c>
      <c r="D29" t="s">
        <v>222</v>
      </c>
      <c r="E29" t="s">
        <v>208</v>
      </c>
      <c r="F29" t="s">
        <v>209</v>
      </c>
      <c r="G29">
        <v>2</v>
      </c>
    </row>
    <row r="30" spans="1:7" x14ac:dyDescent="0.2">
      <c r="A30" s="5">
        <f t="shared" si="2"/>
        <v>29</v>
      </c>
      <c r="B30">
        <v>1698</v>
      </c>
      <c r="C30" t="s">
        <v>237</v>
      </c>
      <c r="D30" t="s">
        <v>222</v>
      </c>
      <c r="E30" t="s">
        <v>208</v>
      </c>
      <c r="F30" t="s">
        <v>209</v>
      </c>
      <c r="G30">
        <v>2</v>
      </c>
    </row>
    <row r="31" spans="1:7" x14ac:dyDescent="0.2">
      <c r="A31" s="5">
        <f t="shared" si="2"/>
        <v>30</v>
      </c>
      <c r="B31">
        <v>2102</v>
      </c>
      <c r="C31" t="s">
        <v>238</v>
      </c>
      <c r="D31" t="s">
        <v>239</v>
      </c>
      <c r="E31" t="s">
        <v>240</v>
      </c>
      <c r="F31" t="s">
        <v>209</v>
      </c>
      <c r="G31">
        <v>3</v>
      </c>
    </row>
    <row r="32" spans="1:7" x14ac:dyDescent="0.2">
      <c r="A32" s="5">
        <f t="shared" si="2"/>
        <v>31</v>
      </c>
      <c r="B32">
        <v>2103</v>
      </c>
      <c r="C32" t="s">
        <v>241</v>
      </c>
      <c r="D32" t="s">
        <v>239</v>
      </c>
      <c r="E32" t="s">
        <v>240</v>
      </c>
      <c r="F32" t="s">
        <v>209</v>
      </c>
      <c r="G32">
        <v>3</v>
      </c>
    </row>
    <row r="33" spans="1:7" x14ac:dyDescent="0.2">
      <c r="A33" s="5">
        <f t="shared" si="2"/>
        <v>32</v>
      </c>
      <c r="B33">
        <v>2111</v>
      </c>
      <c r="C33" t="s">
        <v>242</v>
      </c>
      <c r="D33" t="s">
        <v>239</v>
      </c>
      <c r="E33" t="s">
        <v>240</v>
      </c>
      <c r="F33" t="s">
        <v>209</v>
      </c>
      <c r="G33">
        <v>3</v>
      </c>
    </row>
    <row r="34" spans="1:7" x14ac:dyDescent="0.2">
      <c r="A34" s="5">
        <f t="shared" si="2"/>
        <v>33</v>
      </c>
      <c r="B34">
        <v>2191</v>
      </c>
      <c r="C34" t="s">
        <v>200</v>
      </c>
      <c r="D34" t="s">
        <v>239</v>
      </c>
      <c r="E34" t="s">
        <v>240</v>
      </c>
      <c r="F34" t="s">
        <v>209</v>
      </c>
      <c r="G34">
        <v>3</v>
      </c>
    </row>
    <row r="35" spans="1:7" x14ac:dyDescent="0.2">
      <c r="A35" s="5">
        <f t="shared" si="2"/>
        <v>34</v>
      </c>
      <c r="B35">
        <v>2186</v>
      </c>
      <c r="C35" t="s">
        <v>243</v>
      </c>
      <c r="D35" t="s">
        <v>239</v>
      </c>
      <c r="E35" t="s">
        <v>240</v>
      </c>
      <c r="F35" t="s">
        <v>209</v>
      </c>
      <c r="G35">
        <v>3</v>
      </c>
    </row>
    <row r="36" spans="1:7" x14ac:dyDescent="0.2">
      <c r="A36" s="5">
        <f t="shared" si="2"/>
        <v>35</v>
      </c>
      <c r="B36">
        <v>2187</v>
      </c>
      <c r="C36" t="s">
        <v>244</v>
      </c>
      <c r="D36" t="s">
        <v>239</v>
      </c>
      <c r="E36" t="s">
        <v>240</v>
      </c>
      <c r="F36" t="s">
        <v>209</v>
      </c>
      <c r="G36">
        <v>3</v>
      </c>
    </row>
    <row r="37" spans="1:7" x14ac:dyDescent="0.2">
      <c r="A37" s="5">
        <f t="shared" si="2"/>
        <v>36</v>
      </c>
      <c r="B37">
        <v>2192</v>
      </c>
      <c r="C37" t="s">
        <v>245</v>
      </c>
      <c r="D37" t="s">
        <v>239</v>
      </c>
      <c r="E37" t="s">
        <v>240</v>
      </c>
      <c r="F37" t="s">
        <v>209</v>
      </c>
      <c r="G37">
        <v>3</v>
      </c>
    </row>
    <row r="38" spans="1:7" x14ac:dyDescent="0.2">
      <c r="A38" s="5">
        <f t="shared" si="2"/>
        <v>37</v>
      </c>
      <c r="B38">
        <v>2195</v>
      </c>
      <c r="C38" t="s">
        <v>246</v>
      </c>
      <c r="D38" t="s">
        <v>239</v>
      </c>
      <c r="E38" t="s">
        <v>240</v>
      </c>
      <c r="F38" t="s">
        <v>209</v>
      </c>
      <c r="G38">
        <v>3</v>
      </c>
    </row>
    <row r="39" spans="1:7" x14ac:dyDescent="0.2">
      <c r="A39" s="5">
        <f t="shared" si="2"/>
        <v>38</v>
      </c>
      <c r="B39">
        <v>2201</v>
      </c>
      <c r="C39" t="s">
        <v>247</v>
      </c>
      <c r="D39" t="s">
        <v>239</v>
      </c>
      <c r="E39" t="s">
        <v>240</v>
      </c>
      <c r="F39" t="s">
        <v>209</v>
      </c>
      <c r="G39">
        <v>3</v>
      </c>
    </row>
    <row r="40" spans="1:7" x14ac:dyDescent="0.2">
      <c r="A40" s="5">
        <f t="shared" si="2"/>
        <v>39</v>
      </c>
      <c r="B40">
        <v>2202</v>
      </c>
      <c r="C40" t="s">
        <v>248</v>
      </c>
      <c r="D40" t="s">
        <v>239</v>
      </c>
      <c r="E40" t="s">
        <v>240</v>
      </c>
      <c r="F40" t="s">
        <v>209</v>
      </c>
      <c r="G40">
        <v>3</v>
      </c>
    </row>
    <row r="41" spans="1:7" x14ac:dyDescent="0.2">
      <c r="A41" s="5">
        <f t="shared" ref="A41:A72" si="3">ROW()-1</f>
        <v>40</v>
      </c>
      <c r="B41">
        <v>2203</v>
      </c>
      <c r="C41" t="s">
        <v>219</v>
      </c>
      <c r="D41" t="s">
        <v>239</v>
      </c>
      <c r="E41" t="s">
        <v>240</v>
      </c>
      <c r="F41" t="s">
        <v>209</v>
      </c>
      <c r="G41">
        <v>3</v>
      </c>
    </row>
    <row r="42" spans="1:7" x14ac:dyDescent="0.2">
      <c r="A42" s="5">
        <f t="shared" si="3"/>
        <v>41</v>
      </c>
      <c r="B42">
        <v>2228</v>
      </c>
      <c r="C42" t="s">
        <v>249</v>
      </c>
      <c r="D42" t="s">
        <v>239</v>
      </c>
      <c r="E42" t="s">
        <v>240</v>
      </c>
      <c r="F42" t="s">
        <v>209</v>
      </c>
      <c r="G42">
        <v>3</v>
      </c>
    </row>
    <row r="43" spans="1:7" x14ac:dyDescent="0.2">
      <c r="A43" s="5">
        <f t="shared" si="3"/>
        <v>42</v>
      </c>
      <c r="B43">
        <v>2301</v>
      </c>
      <c r="C43" t="s">
        <v>250</v>
      </c>
      <c r="D43" t="s">
        <v>251</v>
      </c>
      <c r="E43" t="s">
        <v>240</v>
      </c>
      <c r="F43" t="s">
        <v>209</v>
      </c>
      <c r="G43">
        <v>3</v>
      </c>
    </row>
    <row r="44" spans="1:7" x14ac:dyDescent="0.2">
      <c r="A44" s="5">
        <f t="shared" si="3"/>
        <v>43</v>
      </c>
      <c r="B44">
        <v>2303</v>
      </c>
      <c r="C44" t="s">
        <v>252</v>
      </c>
      <c r="D44" t="s">
        <v>251</v>
      </c>
      <c r="E44" t="s">
        <v>240</v>
      </c>
      <c r="F44" t="s">
        <v>209</v>
      </c>
      <c r="G44">
        <v>3</v>
      </c>
    </row>
    <row r="45" spans="1:7" x14ac:dyDescent="0.2">
      <c r="A45" s="5">
        <f t="shared" si="3"/>
        <v>44</v>
      </c>
      <c r="B45">
        <v>2304</v>
      </c>
      <c r="C45" t="s">
        <v>253</v>
      </c>
      <c r="D45" t="s">
        <v>251</v>
      </c>
      <c r="E45" t="s">
        <v>240</v>
      </c>
      <c r="F45" t="s">
        <v>209</v>
      </c>
      <c r="G45">
        <v>3</v>
      </c>
    </row>
    <row r="46" spans="1:7" x14ac:dyDescent="0.2">
      <c r="A46" s="5">
        <f t="shared" si="3"/>
        <v>45</v>
      </c>
      <c r="B46">
        <v>2312</v>
      </c>
      <c r="C46" t="s">
        <v>254</v>
      </c>
      <c r="D46" t="s">
        <v>251</v>
      </c>
      <c r="E46" t="s">
        <v>240</v>
      </c>
      <c r="F46" t="s">
        <v>209</v>
      </c>
      <c r="G46">
        <v>3</v>
      </c>
    </row>
    <row r="47" spans="1:7" x14ac:dyDescent="0.2">
      <c r="A47" s="5">
        <f t="shared" si="3"/>
        <v>46</v>
      </c>
      <c r="B47">
        <v>2322</v>
      </c>
      <c r="C47" t="s">
        <v>255</v>
      </c>
      <c r="D47" t="s">
        <v>251</v>
      </c>
      <c r="E47" t="s">
        <v>240</v>
      </c>
      <c r="F47" t="s">
        <v>209</v>
      </c>
      <c r="G47">
        <v>3</v>
      </c>
    </row>
    <row r="48" spans="1:7" x14ac:dyDescent="0.2">
      <c r="A48" s="5">
        <f t="shared" si="3"/>
        <v>47</v>
      </c>
      <c r="B48">
        <v>2321</v>
      </c>
      <c r="C48" t="s">
        <v>256</v>
      </c>
      <c r="D48" t="s">
        <v>251</v>
      </c>
      <c r="E48" t="s">
        <v>240</v>
      </c>
      <c r="F48" t="s">
        <v>209</v>
      </c>
      <c r="G48">
        <v>3</v>
      </c>
    </row>
    <row r="49" spans="1:7" x14ac:dyDescent="0.2">
      <c r="A49" s="5">
        <f t="shared" si="3"/>
        <v>48</v>
      </c>
      <c r="B49">
        <v>2998</v>
      </c>
      <c r="C49" t="s">
        <v>257</v>
      </c>
      <c r="D49" t="s">
        <v>251</v>
      </c>
      <c r="E49" t="s">
        <v>240</v>
      </c>
      <c r="F49" t="s">
        <v>209</v>
      </c>
      <c r="G49">
        <v>3</v>
      </c>
    </row>
    <row r="50" spans="1:7" x14ac:dyDescent="0.2">
      <c r="A50" s="5">
        <f t="shared" si="3"/>
        <v>49</v>
      </c>
      <c r="B50">
        <v>3102</v>
      </c>
      <c r="C50" t="s">
        <v>258</v>
      </c>
      <c r="D50" t="s">
        <v>259</v>
      </c>
      <c r="E50" t="s">
        <v>260</v>
      </c>
      <c r="F50" t="s">
        <v>209</v>
      </c>
      <c r="G50">
        <v>4</v>
      </c>
    </row>
    <row r="51" spans="1:7" x14ac:dyDescent="0.2">
      <c r="A51" s="5">
        <f t="shared" si="3"/>
        <v>50</v>
      </c>
      <c r="B51">
        <v>3120</v>
      </c>
      <c r="C51" t="s">
        <v>261</v>
      </c>
      <c r="D51" t="s">
        <v>259</v>
      </c>
      <c r="E51" t="s">
        <v>260</v>
      </c>
      <c r="F51" t="s">
        <v>209</v>
      </c>
      <c r="G51">
        <v>4</v>
      </c>
    </row>
    <row r="52" spans="1:7" x14ac:dyDescent="0.2">
      <c r="A52" s="5">
        <f t="shared" si="3"/>
        <v>51</v>
      </c>
      <c r="B52">
        <v>3200</v>
      </c>
      <c r="C52" t="s">
        <v>262</v>
      </c>
      <c r="D52" t="s">
        <v>259</v>
      </c>
      <c r="E52" t="s">
        <v>260</v>
      </c>
      <c r="F52" t="s">
        <v>209</v>
      </c>
      <c r="G52">
        <v>4</v>
      </c>
    </row>
    <row r="53" spans="1:7" x14ac:dyDescent="0.2">
      <c r="A53" s="5">
        <f t="shared" si="3"/>
        <v>52</v>
      </c>
      <c r="B53">
        <v>3297</v>
      </c>
      <c r="C53" t="s">
        <v>263</v>
      </c>
      <c r="D53" t="s">
        <v>259</v>
      </c>
      <c r="E53" t="s">
        <v>260</v>
      </c>
      <c r="F53" t="s">
        <v>209</v>
      </c>
      <c r="G53">
        <v>4</v>
      </c>
    </row>
    <row r="54" spans="1:7" x14ac:dyDescent="0.2">
      <c r="A54" s="5">
        <f t="shared" si="3"/>
        <v>53</v>
      </c>
      <c r="B54">
        <v>3298</v>
      </c>
      <c r="C54" t="s">
        <v>264</v>
      </c>
      <c r="D54" t="s">
        <v>259</v>
      </c>
      <c r="E54" t="s">
        <v>260</v>
      </c>
      <c r="F54" t="s">
        <v>209</v>
      </c>
      <c r="G54">
        <v>4</v>
      </c>
    </row>
    <row r="55" spans="1:7" x14ac:dyDescent="0.2">
      <c r="A55" s="5">
        <f t="shared" si="3"/>
        <v>54</v>
      </c>
      <c r="B55">
        <v>4002</v>
      </c>
      <c r="C55" t="s">
        <v>265</v>
      </c>
      <c r="D55" t="s">
        <v>266</v>
      </c>
      <c r="E55" t="s">
        <v>267</v>
      </c>
      <c r="F55" t="s">
        <v>268</v>
      </c>
      <c r="G55">
        <v>5</v>
      </c>
    </row>
    <row r="56" spans="1:7" x14ac:dyDescent="0.2">
      <c r="A56" s="5">
        <f t="shared" si="3"/>
        <v>55</v>
      </c>
      <c r="B56">
        <v>4003</v>
      </c>
      <c r="C56" t="s">
        <v>269</v>
      </c>
      <c r="D56" t="s">
        <v>266</v>
      </c>
      <c r="E56" t="s">
        <v>267</v>
      </c>
      <c r="F56" t="s">
        <v>268</v>
      </c>
      <c r="G56">
        <v>5</v>
      </c>
    </row>
    <row r="57" spans="1:7" x14ac:dyDescent="0.2">
      <c r="A57" s="5">
        <f t="shared" si="3"/>
        <v>56</v>
      </c>
      <c r="B57">
        <v>4011</v>
      </c>
      <c r="C57" t="s">
        <v>270</v>
      </c>
      <c r="D57" t="s">
        <v>266</v>
      </c>
      <c r="E57" t="s">
        <v>267</v>
      </c>
      <c r="F57" t="s">
        <v>268</v>
      </c>
      <c r="G57">
        <v>5</v>
      </c>
    </row>
    <row r="58" spans="1:7" x14ac:dyDescent="0.2">
      <c r="A58" s="5">
        <f t="shared" si="3"/>
        <v>57</v>
      </c>
      <c r="B58">
        <v>4012</v>
      </c>
      <c r="C58" t="s">
        <v>271</v>
      </c>
      <c r="D58" t="s">
        <v>266</v>
      </c>
      <c r="E58" t="s">
        <v>267</v>
      </c>
      <c r="F58" t="s">
        <v>268</v>
      </c>
      <c r="G58">
        <v>5</v>
      </c>
    </row>
    <row r="59" spans="1:7" x14ac:dyDescent="0.2">
      <c r="A59" s="5">
        <f t="shared" si="3"/>
        <v>58</v>
      </c>
      <c r="B59">
        <v>4013</v>
      </c>
      <c r="C59" t="s">
        <v>272</v>
      </c>
      <c r="D59" t="s">
        <v>266</v>
      </c>
      <c r="E59" t="s">
        <v>267</v>
      </c>
      <c r="F59" t="s">
        <v>268</v>
      </c>
      <c r="G59">
        <v>5</v>
      </c>
    </row>
    <row r="60" spans="1:7" x14ac:dyDescent="0.2">
      <c r="A60" s="5">
        <f t="shared" si="3"/>
        <v>59</v>
      </c>
      <c r="B60">
        <v>5001</v>
      </c>
      <c r="C60" t="s">
        <v>273</v>
      </c>
      <c r="D60" t="s">
        <v>62</v>
      </c>
      <c r="E60" t="s">
        <v>267</v>
      </c>
      <c r="F60" t="s">
        <v>268</v>
      </c>
      <c r="G60">
        <v>6</v>
      </c>
    </row>
    <row r="61" spans="1:7" x14ac:dyDescent="0.2">
      <c r="A61" s="5">
        <f t="shared" si="3"/>
        <v>60</v>
      </c>
      <c r="B61">
        <v>5003</v>
      </c>
      <c r="C61" t="s">
        <v>274</v>
      </c>
      <c r="D61" t="s">
        <v>62</v>
      </c>
      <c r="E61" t="s">
        <v>267</v>
      </c>
      <c r="F61" t="s">
        <v>268</v>
      </c>
      <c r="G61">
        <v>6</v>
      </c>
    </row>
    <row r="62" spans="1:7" x14ac:dyDescent="0.2">
      <c r="A62" s="5">
        <f t="shared" si="3"/>
        <v>61</v>
      </c>
      <c r="B62">
        <v>5007</v>
      </c>
      <c r="C62" t="s">
        <v>116</v>
      </c>
      <c r="D62" t="s">
        <v>62</v>
      </c>
      <c r="E62" t="s">
        <v>267</v>
      </c>
      <c r="F62" t="s">
        <v>268</v>
      </c>
      <c r="G62">
        <v>6</v>
      </c>
    </row>
    <row r="63" spans="1:7" x14ac:dyDescent="0.2">
      <c r="A63" s="5">
        <f t="shared" si="3"/>
        <v>62</v>
      </c>
      <c r="B63">
        <v>5008</v>
      </c>
      <c r="C63" t="s">
        <v>275</v>
      </c>
      <c r="D63" t="s">
        <v>62</v>
      </c>
      <c r="E63" t="s">
        <v>267</v>
      </c>
      <c r="F63" t="s">
        <v>268</v>
      </c>
      <c r="G63">
        <v>6</v>
      </c>
    </row>
    <row r="64" spans="1:7" x14ac:dyDescent="0.2">
      <c r="A64" s="5">
        <f t="shared" si="3"/>
        <v>63</v>
      </c>
      <c r="B64">
        <v>5009</v>
      </c>
      <c r="C64" t="s">
        <v>276</v>
      </c>
      <c r="D64" t="s">
        <v>62</v>
      </c>
      <c r="E64" t="s">
        <v>267</v>
      </c>
      <c r="F64" t="s">
        <v>268</v>
      </c>
      <c r="G64">
        <v>6</v>
      </c>
    </row>
    <row r="65" spans="1:7" x14ac:dyDescent="0.2">
      <c r="A65" s="5">
        <f t="shared" si="3"/>
        <v>64</v>
      </c>
      <c r="B65">
        <v>4199</v>
      </c>
      <c r="C65" t="s">
        <v>277</v>
      </c>
      <c r="D65" t="s">
        <v>278</v>
      </c>
      <c r="E65" t="s">
        <v>267</v>
      </c>
      <c r="F65" t="s">
        <v>268</v>
      </c>
      <c r="G65">
        <v>7</v>
      </c>
    </row>
    <row r="66" spans="1:7" x14ac:dyDescent="0.2">
      <c r="A66" s="5">
        <f t="shared" si="3"/>
        <v>65</v>
      </c>
      <c r="B66">
        <v>5311</v>
      </c>
      <c r="C66" t="s">
        <v>279</v>
      </c>
      <c r="D66" t="s">
        <v>280</v>
      </c>
      <c r="E66" t="s">
        <v>267</v>
      </c>
      <c r="F66" t="s">
        <v>268</v>
      </c>
      <c r="G66">
        <v>8</v>
      </c>
    </row>
    <row r="67" spans="1:7" x14ac:dyDescent="0.2">
      <c r="A67" s="5">
        <f t="shared" si="3"/>
        <v>66</v>
      </c>
      <c r="B67">
        <v>5312</v>
      </c>
      <c r="C67" t="s">
        <v>281</v>
      </c>
      <c r="D67" t="s">
        <v>280</v>
      </c>
      <c r="E67" t="s">
        <v>267</v>
      </c>
      <c r="F67" t="s">
        <v>268</v>
      </c>
      <c r="G67">
        <v>8</v>
      </c>
    </row>
    <row r="68" spans="1:7" x14ac:dyDescent="0.2">
      <c r="A68" s="5">
        <f t="shared" si="3"/>
        <v>67</v>
      </c>
      <c r="B68">
        <v>5313</v>
      </c>
      <c r="C68" t="s">
        <v>282</v>
      </c>
      <c r="D68" t="s">
        <v>280</v>
      </c>
      <c r="E68" t="s">
        <v>267</v>
      </c>
      <c r="F68" t="s">
        <v>268</v>
      </c>
      <c r="G68">
        <v>8</v>
      </c>
    </row>
    <row r="69" spans="1:7" x14ac:dyDescent="0.2">
      <c r="A69" s="5">
        <f t="shared" si="3"/>
        <v>68</v>
      </c>
      <c r="B69">
        <v>5314</v>
      </c>
      <c r="C69" t="s">
        <v>283</v>
      </c>
      <c r="D69" t="s">
        <v>280</v>
      </c>
      <c r="E69" t="s">
        <v>267</v>
      </c>
      <c r="F69" t="s">
        <v>268</v>
      </c>
      <c r="G69">
        <v>8</v>
      </c>
    </row>
    <row r="70" spans="1:7" x14ac:dyDescent="0.2">
      <c r="A70" s="5">
        <f t="shared" si="3"/>
        <v>69</v>
      </c>
      <c r="B70">
        <v>5315</v>
      </c>
      <c r="C70" t="s">
        <v>284</v>
      </c>
      <c r="D70" t="s">
        <v>280</v>
      </c>
      <c r="E70" t="s">
        <v>267</v>
      </c>
      <c r="F70" t="s">
        <v>268</v>
      </c>
      <c r="G70">
        <v>8</v>
      </c>
    </row>
    <row r="71" spans="1:7" x14ac:dyDescent="0.2">
      <c r="A71" s="5">
        <f t="shared" si="3"/>
        <v>70</v>
      </c>
      <c r="B71">
        <v>5316</v>
      </c>
      <c r="C71" t="s">
        <v>285</v>
      </c>
      <c r="D71" t="s">
        <v>280</v>
      </c>
      <c r="E71" t="s">
        <v>267</v>
      </c>
      <c r="F71" t="s">
        <v>268</v>
      </c>
      <c r="G71">
        <v>8</v>
      </c>
    </row>
    <row r="72" spans="1:7" x14ac:dyDescent="0.2">
      <c r="A72" s="5">
        <f t="shared" si="3"/>
        <v>71</v>
      </c>
      <c r="B72">
        <v>5317</v>
      </c>
      <c r="C72" t="s">
        <v>286</v>
      </c>
      <c r="D72" t="s">
        <v>280</v>
      </c>
      <c r="E72" t="s">
        <v>267</v>
      </c>
      <c r="F72" t="s">
        <v>268</v>
      </c>
      <c r="G72">
        <v>8</v>
      </c>
    </row>
    <row r="73" spans="1:7" x14ac:dyDescent="0.2">
      <c r="A73" s="5">
        <f t="shared" ref="A73:A89" si="4">ROW()-1</f>
        <v>72</v>
      </c>
      <c r="B73">
        <v>5318</v>
      </c>
      <c r="C73" t="s">
        <v>287</v>
      </c>
      <c r="D73" t="s">
        <v>280</v>
      </c>
      <c r="E73" t="s">
        <v>267</v>
      </c>
      <c r="F73" t="s">
        <v>268</v>
      </c>
      <c r="G73">
        <v>8</v>
      </c>
    </row>
    <row r="74" spans="1:7" x14ac:dyDescent="0.2">
      <c r="A74" s="5">
        <f t="shared" si="4"/>
        <v>73</v>
      </c>
      <c r="B74">
        <v>5319</v>
      </c>
      <c r="C74" t="s">
        <v>288</v>
      </c>
      <c r="D74" t="s">
        <v>280</v>
      </c>
      <c r="E74" t="s">
        <v>267</v>
      </c>
      <c r="F74" t="s">
        <v>268</v>
      </c>
      <c r="G74">
        <v>8</v>
      </c>
    </row>
    <row r="75" spans="1:7" x14ac:dyDescent="0.2">
      <c r="A75" s="5">
        <f t="shared" si="4"/>
        <v>74</v>
      </c>
      <c r="B75">
        <v>5320</v>
      </c>
      <c r="C75" t="s">
        <v>289</v>
      </c>
      <c r="D75" t="s">
        <v>280</v>
      </c>
      <c r="E75" t="s">
        <v>267</v>
      </c>
      <c r="F75" t="s">
        <v>268</v>
      </c>
      <c r="G75">
        <v>8</v>
      </c>
    </row>
    <row r="76" spans="1:7" x14ac:dyDescent="0.2">
      <c r="A76" s="5">
        <f t="shared" si="4"/>
        <v>75</v>
      </c>
      <c r="B76">
        <v>5321</v>
      </c>
      <c r="C76" t="s">
        <v>290</v>
      </c>
      <c r="D76" t="s">
        <v>280</v>
      </c>
      <c r="E76" t="s">
        <v>267</v>
      </c>
      <c r="F76" t="s">
        <v>268</v>
      </c>
      <c r="G76">
        <v>8</v>
      </c>
    </row>
    <row r="77" spans="1:7" x14ac:dyDescent="0.2">
      <c r="A77" s="5">
        <f t="shared" si="4"/>
        <v>76</v>
      </c>
      <c r="B77">
        <v>5322</v>
      </c>
      <c r="C77" t="s">
        <v>291</v>
      </c>
      <c r="D77" t="s">
        <v>280</v>
      </c>
      <c r="E77" t="s">
        <v>267</v>
      </c>
      <c r="F77" t="s">
        <v>268</v>
      </c>
      <c r="G77">
        <v>8</v>
      </c>
    </row>
    <row r="78" spans="1:7" x14ac:dyDescent="0.2">
      <c r="A78" s="5">
        <f t="shared" si="4"/>
        <v>77</v>
      </c>
      <c r="B78">
        <v>5399</v>
      </c>
      <c r="C78" t="s">
        <v>292</v>
      </c>
      <c r="D78" t="s">
        <v>280</v>
      </c>
      <c r="E78" t="s">
        <v>267</v>
      </c>
      <c r="F78" t="s">
        <v>268</v>
      </c>
      <c r="G78">
        <v>8</v>
      </c>
    </row>
    <row r="79" spans="1:7" x14ac:dyDescent="0.2">
      <c r="A79" s="5">
        <f t="shared" si="4"/>
        <v>78</v>
      </c>
      <c r="B79">
        <v>4501</v>
      </c>
      <c r="C79" t="s">
        <v>293</v>
      </c>
      <c r="D79" t="s">
        <v>294</v>
      </c>
      <c r="E79" t="s">
        <v>267</v>
      </c>
      <c r="F79" t="s">
        <v>268</v>
      </c>
      <c r="G79">
        <v>9</v>
      </c>
    </row>
    <row r="80" spans="1:7" x14ac:dyDescent="0.2">
      <c r="A80" s="5">
        <f t="shared" si="4"/>
        <v>79</v>
      </c>
      <c r="B80">
        <v>4503</v>
      </c>
      <c r="C80" t="s">
        <v>295</v>
      </c>
      <c r="D80" t="s">
        <v>294</v>
      </c>
      <c r="E80" t="s">
        <v>267</v>
      </c>
      <c r="F80" t="s">
        <v>268</v>
      </c>
      <c r="G80">
        <v>9</v>
      </c>
    </row>
    <row r="81" spans="1:7" x14ac:dyDescent="0.2">
      <c r="A81" s="5">
        <f t="shared" si="4"/>
        <v>80</v>
      </c>
      <c r="B81">
        <v>4511</v>
      </c>
      <c r="C81" t="s">
        <v>296</v>
      </c>
      <c r="D81" t="s">
        <v>294</v>
      </c>
      <c r="E81" t="s">
        <v>267</v>
      </c>
      <c r="F81" t="s">
        <v>268</v>
      </c>
      <c r="G81">
        <v>9</v>
      </c>
    </row>
    <row r="82" spans="1:7" x14ac:dyDescent="0.2">
      <c r="A82" s="5">
        <f t="shared" si="4"/>
        <v>81</v>
      </c>
      <c r="B82">
        <v>4599</v>
      </c>
      <c r="C82" t="s">
        <v>297</v>
      </c>
      <c r="D82" t="s">
        <v>294</v>
      </c>
      <c r="E82" t="s">
        <v>267</v>
      </c>
      <c r="F82" t="s">
        <v>268</v>
      </c>
      <c r="G82">
        <v>9</v>
      </c>
    </row>
    <row r="83" spans="1:7" x14ac:dyDescent="0.2">
      <c r="A83" s="5">
        <f t="shared" si="4"/>
        <v>82</v>
      </c>
      <c r="B83">
        <v>5405</v>
      </c>
      <c r="C83" t="s">
        <v>298</v>
      </c>
      <c r="D83" t="s">
        <v>299</v>
      </c>
      <c r="E83" t="s">
        <v>267</v>
      </c>
      <c r="F83" t="s">
        <v>268</v>
      </c>
      <c r="G83">
        <v>10</v>
      </c>
    </row>
    <row r="84" spans="1:7" x14ac:dyDescent="0.2">
      <c r="A84" s="5">
        <f t="shared" si="4"/>
        <v>83</v>
      </c>
      <c r="B84">
        <v>5409</v>
      </c>
      <c r="C84" t="s">
        <v>300</v>
      </c>
      <c r="D84" t="s">
        <v>299</v>
      </c>
      <c r="E84" t="s">
        <v>267</v>
      </c>
      <c r="F84" t="s">
        <v>268</v>
      </c>
      <c r="G84">
        <v>10</v>
      </c>
    </row>
    <row r="85" spans="1:7" x14ac:dyDescent="0.2">
      <c r="A85" s="5">
        <f t="shared" si="4"/>
        <v>84</v>
      </c>
      <c r="B85">
        <v>5421</v>
      </c>
      <c r="C85" t="s">
        <v>301</v>
      </c>
      <c r="D85" t="s">
        <v>299</v>
      </c>
      <c r="E85" t="s">
        <v>267</v>
      </c>
      <c r="F85" t="s">
        <v>268</v>
      </c>
      <c r="G85">
        <v>10</v>
      </c>
    </row>
    <row r="86" spans="1:7" x14ac:dyDescent="0.2">
      <c r="A86" s="5">
        <f t="shared" si="4"/>
        <v>85</v>
      </c>
      <c r="B86">
        <v>5499</v>
      </c>
      <c r="C86" t="s">
        <v>302</v>
      </c>
      <c r="D86" t="s">
        <v>299</v>
      </c>
      <c r="E86" t="s">
        <v>267</v>
      </c>
      <c r="F86" t="s">
        <v>268</v>
      </c>
      <c r="G86">
        <v>10</v>
      </c>
    </row>
    <row r="87" spans="1:7" x14ac:dyDescent="0.2">
      <c r="A87" s="5">
        <f t="shared" si="4"/>
        <v>86</v>
      </c>
      <c r="B87">
        <v>9887</v>
      </c>
      <c r="C87" t="s">
        <v>201</v>
      </c>
      <c r="D87" t="s">
        <v>303</v>
      </c>
      <c r="E87" t="s">
        <v>303</v>
      </c>
      <c r="F87" t="s">
        <v>303</v>
      </c>
      <c r="G87">
        <v>0</v>
      </c>
    </row>
    <row r="88" spans="1:7" x14ac:dyDescent="0.2">
      <c r="A88" s="5">
        <f t="shared" si="4"/>
        <v>87</v>
      </c>
      <c r="B88">
        <v>9888</v>
      </c>
      <c r="C88" t="s">
        <v>202</v>
      </c>
      <c r="D88" t="s">
        <v>303</v>
      </c>
      <c r="E88" t="s">
        <v>303</v>
      </c>
      <c r="F88" t="s">
        <v>303</v>
      </c>
      <c r="G88">
        <v>0</v>
      </c>
    </row>
    <row r="89" spans="1:7" x14ac:dyDescent="0.2">
      <c r="A89" s="5">
        <f t="shared" si="4"/>
        <v>88</v>
      </c>
      <c r="B89">
        <v>9889</v>
      </c>
      <c r="C89" t="s">
        <v>203</v>
      </c>
      <c r="D89" t="s">
        <v>303</v>
      </c>
      <c r="E89" t="s">
        <v>303</v>
      </c>
      <c r="F89" t="s">
        <v>303</v>
      </c>
      <c r="G89">
        <v>0</v>
      </c>
    </row>
  </sheetData>
  <pageMargins left="0.7" right="0.7" top="0.75" bottom="0.75" header="0.3" footer="0.3"/>
  <pageSetup paperSize="8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9FEB4-A1C5-4639-B2CF-A8317D96E318}">
  <sheetPr codeName="shCos">
    <tabColor theme="2" tint="-0.499984740745262"/>
  </sheetPr>
  <dimension ref="A1:G14"/>
  <sheetViews>
    <sheetView showGridLines="0" tabSelected="1" zoomScale="145" zoomScaleNormal="145" workbookViewId="0">
      <selection activeCell="D8" sqref="D8"/>
    </sheetView>
  </sheetViews>
  <sheetFormatPr defaultRowHeight="12.75" x14ac:dyDescent="0.2"/>
  <cols>
    <col min="1" max="1" width="6.140625" customWidth="1"/>
    <col min="3" max="3" width="14.85546875" customWidth="1"/>
    <col min="4" max="4" width="93.28515625" customWidth="1"/>
    <col min="5" max="6" width="8.140625" bestFit="1" customWidth="1"/>
    <col min="7" max="7" width="17" customWidth="1"/>
  </cols>
  <sheetData>
    <row r="1" spans="1:7" x14ac:dyDescent="0.2">
      <c r="A1" t="s">
        <v>5</v>
      </c>
      <c r="B1" t="s">
        <v>25</v>
      </c>
      <c r="C1" t="s">
        <v>9</v>
      </c>
      <c r="D1" t="s">
        <v>20</v>
      </c>
      <c r="E1" t="s">
        <v>1</v>
      </c>
      <c r="F1" t="s">
        <v>22</v>
      </c>
      <c r="G1" t="s">
        <v>7</v>
      </c>
    </row>
    <row r="2" spans="1:7" x14ac:dyDescent="0.2">
      <c r="A2" s="17">
        <f>ROW()-ROW(tbCOS[[#Headers],['#]])</f>
        <v>1</v>
      </c>
      <c r="B2" s="17">
        <f>INDEX(tbCOSG['#],MATCH(tbCOS[[#This Row],[Group]],tbCOSG[code],0))</f>
        <v>0</v>
      </c>
      <c r="C2" s="5" t="s">
        <v>53</v>
      </c>
      <c r="D2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#Void</v>
      </c>
      <c r="E2" s="5" t="s">
        <v>53</v>
      </c>
      <c r="F2" s="5" t="s">
        <v>24</v>
      </c>
      <c r="G2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#Void</v>
      </c>
    </row>
    <row r="3" spans="1:7" x14ac:dyDescent="0.2">
      <c r="A3" s="17">
        <f>ROW()-ROW(tbCOS[[#Headers],['#]])</f>
        <v>2</v>
      </c>
      <c r="B3" s="17">
        <f>INDEX(tbCOSG['#],MATCH(tbCOS[[#This Row],[Group]],tbCOSG[code],0))</f>
        <v>1</v>
      </c>
      <c r="C3" s="5" t="s">
        <v>107</v>
      </c>
      <c r="D3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#Void Cost Center</v>
      </c>
      <c r="E3" s="5" t="s">
        <v>45</v>
      </c>
      <c r="F3" s="5" t="s">
        <v>24</v>
      </c>
      <c r="G3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All</v>
      </c>
    </row>
    <row r="4" spans="1:7" x14ac:dyDescent="0.2">
      <c r="A4" s="17">
        <f>ROW()-ROW(tbCOS[[#Headers],['#]])</f>
        <v>3</v>
      </c>
      <c r="B4" s="17">
        <f>INDEX(tbCOSG['#],MATCH(tbCOS[[#This Row],[Group]],tbCOSG[code],0))</f>
        <v>1</v>
      </c>
      <c r="C4" s="5" t="s">
        <v>110</v>
      </c>
      <c r="D4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Pendapatan Operasional</v>
      </c>
      <c r="E4" s="5" t="s">
        <v>45</v>
      </c>
      <c r="F4" s="5" t="s">
        <v>24</v>
      </c>
      <c r="G4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All</v>
      </c>
    </row>
    <row r="5" spans="1:7" x14ac:dyDescent="0.2">
      <c r="A5" s="17">
        <f>ROW()-ROW(tbCOS[[#Headers],['#]])</f>
        <v>4</v>
      </c>
      <c r="B5" s="17">
        <f>INDEX(tbCOSG['#],MATCH(tbCOS[[#This Row],[Group]],tbCOSG[code],0))</f>
        <v>1</v>
      </c>
      <c r="C5" s="5" t="s">
        <v>113</v>
      </c>
      <c r="D5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Beban Sumber Daya Manusia</v>
      </c>
      <c r="E5" s="5" t="s">
        <v>45</v>
      </c>
      <c r="F5" s="5" t="s">
        <v>24</v>
      </c>
      <c r="G5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All</v>
      </c>
    </row>
    <row r="6" spans="1:7" x14ac:dyDescent="0.2">
      <c r="A6" s="17">
        <f>ROW()-ROW(tbCOS[[#Headers],['#]])</f>
        <v>5</v>
      </c>
      <c r="B6" s="17">
        <f>INDEX(tbCOSG['#],MATCH(tbCOS[[#This Row],[Group]],tbCOSG[code],0))</f>
        <v>1</v>
      </c>
      <c r="C6" s="5" t="s">
        <v>115</v>
      </c>
      <c r="D6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Beban Operasional Lainnya</v>
      </c>
      <c r="E6" s="5" t="s">
        <v>45</v>
      </c>
      <c r="F6" s="5" t="s">
        <v>24</v>
      </c>
      <c r="G6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All</v>
      </c>
    </row>
    <row r="7" spans="1:7" x14ac:dyDescent="0.2">
      <c r="A7" s="17">
        <f>ROW()-ROW(tbCOS[[#Headers],['#]])</f>
        <v>6</v>
      </c>
      <c r="B7" s="17">
        <f>INDEX(tbCOSG['#],MATCH(tbCOS[[#This Row],[Group]],tbCOSG[code],0))</f>
        <v>1</v>
      </c>
      <c r="C7" s="5" t="s">
        <v>117</v>
      </c>
      <c r="D7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Lain-lain</v>
      </c>
      <c r="E7" s="5" t="s">
        <v>45</v>
      </c>
      <c r="F7" s="5" t="s">
        <v>24</v>
      </c>
      <c r="G7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All</v>
      </c>
    </row>
    <row r="8" spans="1:7" x14ac:dyDescent="0.2">
      <c r="A8" s="17">
        <f>ROW()-ROW(tbCOS[[#Headers],['#]])</f>
        <v>7</v>
      </c>
      <c r="B8" s="17">
        <f>INDEX(tbCOSG['#],MATCH(tbCOS[[#This Row],[Group]],tbCOSG[code],0))</f>
        <v>2</v>
      </c>
      <c r="C8" s="5" t="s">
        <v>119</v>
      </c>
      <c r="D8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PT. Sukses Jaya</v>
      </c>
      <c r="E8" s="5" t="s">
        <v>46</v>
      </c>
      <c r="F8" s="5" t="s">
        <v>24</v>
      </c>
      <c r="G8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Customer</v>
      </c>
    </row>
    <row r="9" spans="1:7" x14ac:dyDescent="0.2">
      <c r="A9" s="17">
        <f>ROW()-ROW(tbCOS[[#Headers],['#]])</f>
        <v>8</v>
      </c>
      <c r="B9" s="17">
        <f>INDEX(tbCOSG['#],MATCH(tbCOS[[#This Row],[Group]],tbCOSG[code],0))</f>
        <v>2</v>
      </c>
      <c r="C9" s="5" t="s">
        <v>122</v>
      </c>
      <c r="D9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CV. Super Supply</v>
      </c>
      <c r="E9" s="5" t="s">
        <v>46</v>
      </c>
      <c r="F9" s="5" t="s">
        <v>24</v>
      </c>
      <c r="G9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Vendor</v>
      </c>
    </row>
    <row r="10" spans="1:7" x14ac:dyDescent="0.2">
      <c r="A10" s="17">
        <f>ROW()-ROW(tbCOS[[#Headers],['#]])</f>
        <v>9</v>
      </c>
      <c r="B10" s="17">
        <f>INDEX(tbCOSG['#],MATCH(tbCOS[[#This Row],[Group]],tbCOSG[code],0))</f>
        <v>2</v>
      </c>
      <c r="C10" s="5" t="s">
        <v>125</v>
      </c>
      <c r="D10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UD. Dagang Sejahtera</v>
      </c>
      <c r="E10" s="5" t="s">
        <v>46</v>
      </c>
      <c r="F10" s="5" t="s">
        <v>24</v>
      </c>
      <c r="G10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Customer</v>
      </c>
    </row>
    <row r="11" spans="1:7" x14ac:dyDescent="0.2">
      <c r="A11" s="17">
        <f>ROW()-ROW(tbCOS[[#Headers],['#]])</f>
        <v>10</v>
      </c>
      <c r="B11" s="17">
        <f>INDEX(tbCOSG['#],MATCH(tbCOS[[#This Row],[Group]],tbCOSG[code],0))</f>
        <v>2</v>
      </c>
      <c r="C11" s="5" t="s">
        <v>127</v>
      </c>
      <c r="D11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PT. Maju Bersama</v>
      </c>
      <c r="E11" s="5" t="s">
        <v>46</v>
      </c>
      <c r="F11" s="5" t="s">
        <v>24</v>
      </c>
      <c r="G11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Customer</v>
      </c>
    </row>
    <row r="12" spans="1:7" x14ac:dyDescent="0.2">
      <c r="A12" s="17">
        <f>ROW()-ROW(tbCOS[[#Headers],['#]])</f>
        <v>11</v>
      </c>
      <c r="B12" s="17">
        <f>INDEX(tbCOSG['#],MATCH(tbCOS[[#This Row],[Group]],tbCOSG[code],0))</f>
        <v>2</v>
      </c>
      <c r="C12" s="5" t="s">
        <v>129</v>
      </c>
      <c r="D12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Bank XX</v>
      </c>
      <c r="E12" s="5" t="s">
        <v>46</v>
      </c>
      <c r="F12" s="5" t="s">
        <v>24</v>
      </c>
      <c r="G12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Creditor</v>
      </c>
    </row>
    <row r="13" spans="1:7" x14ac:dyDescent="0.2">
      <c r="A13" s="17">
        <f>ROW()-ROW(tbCOS[[#Headers],['#]])</f>
        <v>12</v>
      </c>
      <c r="B13" s="17">
        <f>INDEX(tbCOSG['#],MATCH(tbCOS[[#This Row],[Group]],tbCOSG[code],0))</f>
        <v>2</v>
      </c>
      <c r="C13" s="5" t="s">
        <v>132</v>
      </c>
      <c r="D13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UD. Super Transport</v>
      </c>
      <c r="E13" s="5" t="s">
        <v>46</v>
      </c>
      <c r="F13" s="5" t="s">
        <v>24</v>
      </c>
      <c r="G13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Vendor</v>
      </c>
    </row>
    <row r="14" spans="1:7" x14ac:dyDescent="0.2">
      <c r="A14" s="17">
        <f>ROW()-ROW(tbCOS[[#Headers],['#]])</f>
        <v>13</v>
      </c>
      <c r="B14" s="17">
        <f>INDEX(tbCOSG['#],MATCH(tbCOS[[#This Row],[Group]],tbCOSG[code],0))</f>
        <v>2</v>
      </c>
      <c r="C14" s="5" t="s">
        <v>134</v>
      </c>
      <c r="D14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#Void Subsidiary</v>
      </c>
      <c r="E14" s="5" t="s">
        <v>46</v>
      </c>
      <c r="F14" s="5" t="s">
        <v>24</v>
      </c>
      <c r="G14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#Void</v>
      </c>
    </row>
  </sheetData>
  <conditionalFormatting sqref="A2:F14">
    <cfRule type="expression" dxfId="9" priority="1">
      <formula>$F2="Deactive"</formula>
    </cfRule>
  </conditionalFormatting>
  <conditionalFormatting sqref="C2:C14">
    <cfRule type="duplicateValues" dxfId="8" priority="333"/>
  </conditionalFormatting>
  <dataValidations count="2">
    <dataValidation type="list" allowBlank="1" showInputMessage="1" showErrorMessage="1" sqref="E2:E14" xr:uid="{541686F5-6AD8-45B3-A8A2-1286A2830059}">
      <formula1>_cosGroup</formula1>
    </dataValidation>
    <dataValidation type="list" allowBlank="1" showInputMessage="1" showErrorMessage="1" sqref="F2:F14" xr:uid="{320E2EE8-14F2-4F44-A012-5A2BF72AA07A}">
      <formula1>"Active,Deactive"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_helper</vt:lpstr>
      <vt:lpstr>set</vt:lpstr>
      <vt:lpstr>head</vt:lpstr>
      <vt:lpstr>group</vt:lpstr>
      <vt:lpstr>sgroup</vt:lpstr>
      <vt:lpstr>seq</vt:lpstr>
      <vt:lpstr>cc</vt:lpstr>
      <vt:lpstr>sub</vt:lpstr>
      <vt:lpstr>ccf</vt:lpstr>
      <vt:lpstr>jb</vt:lpstr>
      <vt:lpstr>coa</vt:lpstr>
      <vt:lpstr>tax</vt:lpstr>
      <vt:lpstr>cos</vt:lpstr>
      <vt:lpstr>_ccf</vt:lpstr>
      <vt:lpstr>_coa</vt:lpstr>
      <vt:lpstr>_coatax</vt:lpstr>
      <vt:lpstr>_cosGroup</vt:lpstr>
      <vt:lpstr>_group</vt:lpstr>
      <vt:lpstr>_head</vt:lpstr>
      <vt:lpstr>_jb</vt:lpstr>
      <vt:lpstr>_seq</vt:lpstr>
      <vt:lpstr>_sgroup</vt:lpstr>
      <vt:lpstr>cfgCFcos</vt:lpstr>
      <vt:lpstr>cfgCompAddress</vt:lpstr>
      <vt:lpstr>cfgCompName</vt:lpstr>
      <vt:lpstr>cfgEndDate</vt:lpstr>
      <vt:lpstr>cfgEquity</vt:lpstr>
      <vt:lpstr>cfgOpBal</vt:lpstr>
      <vt:lpstr>cfgStartDate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OcingAccounting</dc:title>
  <dc:creator>Cheries</dc:creator>
  <cp:lastModifiedBy>Cheries M</cp:lastModifiedBy>
  <dcterms:created xsi:type="dcterms:W3CDTF">2025-05-22T05:07:24Z</dcterms:created>
  <dcterms:modified xsi:type="dcterms:W3CDTF">2025-11-12T14:55:01Z</dcterms:modified>
</cp:coreProperties>
</file>