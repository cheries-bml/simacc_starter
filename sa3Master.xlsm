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SimAcc3Master" defaultThemeVersion="166925"/>
  <mc:AlternateContent xmlns:mc="http://schemas.openxmlformats.org/markup-compatibility/2006">
    <mc:Choice Requires="x15">
      <x15ac:absPath xmlns:x15ac="http://schemas.microsoft.com/office/spreadsheetml/2010/11/ac" url="C:\Users\cheri\Documents\GDrive\ocac\demo\"/>
    </mc:Choice>
  </mc:AlternateContent>
  <xr:revisionPtr revIDLastSave="0" documentId="13_ncr:1_{D77CB104-A949-4DFF-87CF-E4226992AE65}" xr6:coauthVersionLast="47" xr6:coauthVersionMax="47" xr10:uidLastSave="{00000000-0000-0000-0000-000000000000}"/>
  <bookViews>
    <workbookView xWindow="-120" yWindow="-120" windowWidth="38640" windowHeight="21120" firstSheet="1" activeTab="5" xr2:uid="{69289B9C-27BD-418E-9A72-AE36FA43DF3D}"/>
  </bookViews>
  <sheets>
    <sheet name="_helper" sheetId="15" state="hidden" r:id="rId1"/>
    <sheet name="set" sheetId="1" r:id="rId2"/>
    <sheet name="head" sheetId="3" r:id="rId3"/>
    <sheet name="group" sheetId="2" r:id="rId4"/>
    <sheet name="sgroup" sheetId="5" r:id="rId5"/>
    <sheet name="seq" sheetId="8" r:id="rId6"/>
    <sheet name="cc" sheetId="9" r:id="rId7"/>
    <sheet name="sub" sheetId="10" r:id="rId8"/>
    <sheet name="ccf" sheetId="13" r:id="rId9"/>
    <sheet name="jb" sheetId="11" r:id="rId10"/>
    <sheet name="coa" sheetId="12" r:id="rId11"/>
    <sheet name="tax" sheetId="16" r:id="rId12"/>
    <sheet name="cos" sheetId="14" r:id="rId13"/>
  </sheets>
  <functionGroups builtInGroupCount="19"/>
  <definedNames>
    <definedName name="_ccf">tbCcf[Code]</definedName>
    <definedName name="_coa">tbCoa[Code]</definedName>
    <definedName name="_coatax">tbTax[Code]</definedName>
    <definedName name="_cosGroup">tbCOSG[code]</definedName>
    <definedName name="_group">tbGroup[Group]</definedName>
    <definedName name="_head">tbHead[Head]</definedName>
    <definedName name="_jb">tbBatch[Code]</definedName>
    <definedName name="_seq">tbSeq[Code]</definedName>
    <definedName name="_sgroup">tbSGroup[SubGroup]</definedName>
    <definedName name="cfgCFcos">set!$C$15</definedName>
    <definedName name="cfgCompAddress">set!$C$7</definedName>
    <definedName name="cfgCompName">set!$C$6</definedName>
    <definedName name="cfgEndDate">set!$C$11</definedName>
    <definedName name="cfgEquity">set!$C$14</definedName>
    <definedName name="cfgOpBal">set!$C$16</definedName>
    <definedName name="cfgStartDate">set!$C$10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14" l="1"/>
  <c r="B8" i="14"/>
  <c r="D8" i="14" s="1"/>
  <c r="G8" i="14"/>
  <c r="A7" i="14"/>
  <c r="B7" i="14"/>
  <c r="D7" i="14" s="1"/>
  <c r="G7" i="14"/>
  <c r="A6" i="14"/>
  <c r="B6" i="14"/>
  <c r="D6" i="14"/>
  <c r="G6" i="14"/>
  <c r="A5" i="14"/>
  <c r="B5" i="14"/>
  <c r="D5" i="14"/>
  <c r="G5" i="14"/>
  <c r="A4" i="14"/>
  <c r="B4" i="14"/>
  <c r="D4" i="14" s="1"/>
  <c r="G4" i="14"/>
  <c r="A3" i="14"/>
  <c r="B3" i="14"/>
  <c r="D3" i="14" s="1"/>
  <c r="G3" i="14"/>
  <c r="A2" i="14"/>
  <c r="B2" i="14"/>
  <c r="D2" i="14"/>
  <c r="G2" i="14"/>
  <c r="F4" i="9"/>
  <c r="F3" i="9"/>
  <c r="F2" i="9"/>
  <c r="D2" i="2"/>
  <c r="E2" i="10"/>
  <c r="E3" i="10"/>
  <c r="E4" i="10"/>
  <c r="A2" i="13"/>
  <c r="A3" i="13"/>
  <c r="A4" i="13"/>
  <c r="A8" i="16"/>
  <c r="A7" i="16"/>
  <c r="A6" i="16"/>
  <c r="A5" i="16"/>
  <c r="A4" i="16"/>
  <c r="A2" i="16"/>
  <c r="A3" i="16"/>
  <c r="A4" i="9"/>
  <c r="A3" i="9"/>
  <c r="A2" i="5"/>
  <c r="A8" i="12"/>
  <c r="F8" i="12"/>
  <c r="J8" i="12"/>
  <c r="P8" i="12"/>
  <c r="S8" i="12"/>
  <c r="A2" i="8"/>
  <c r="P5" i="12"/>
  <c r="P2" i="12"/>
  <c r="P3" i="12"/>
  <c r="P4" i="12"/>
  <c r="P6" i="12"/>
  <c r="P7" i="12"/>
  <c r="F2" i="12"/>
  <c r="F3" i="12"/>
  <c r="F4" i="12"/>
  <c r="F5" i="12"/>
  <c r="F6" i="12"/>
  <c r="F7" i="12"/>
  <c r="A10" i="3"/>
  <c r="S2" i="12"/>
  <c r="S3" i="12"/>
  <c r="S4" i="12"/>
  <c r="S5" i="12"/>
  <c r="S6" i="12"/>
  <c r="S7" i="12"/>
  <c r="A2" i="11"/>
  <c r="A3" i="11"/>
  <c r="A4" i="11"/>
  <c r="J2" i="12" l="1"/>
  <c r="J3" i="12"/>
  <c r="J4" i="12"/>
  <c r="J5" i="12"/>
  <c r="J6" i="12"/>
  <c r="J7" i="12"/>
  <c r="A2" i="12"/>
  <c r="A3" i="12"/>
  <c r="A4" i="12"/>
  <c r="A5" i="12"/>
  <c r="A6" i="12"/>
  <c r="A7" i="12"/>
  <c r="A4" i="10"/>
  <c r="A3" i="10"/>
  <c r="A2" i="10"/>
  <c r="A2" i="9" l="1"/>
  <c r="A3" i="8"/>
  <c r="A3" i="5"/>
  <c r="A4" i="5"/>
  <c r="D3" i="2" l="1"/>
  <c r="D4" i="2"/>
  <c r="A2" i="2"/>
  <c r="A3" i="2"/>
  <c r="A4" i="2"/>
  <c r="A2" i="3"/>
  <c r="A3" i="3"/>
  <c r="A4" i="3"/>
  <c r="A5" i="3"/>
  <c r="A6" i="3"/>
  <c r="A7" i="3"/>
  <c r="A8" i="3"/>
  <c r="A9" i="3"/>
  <c r="A11" i="3"/>
  <c r="M8" i="12" l="1"/>
  <c r="M2" i="12"/>
  <c r="M3" i="12"/>
  <c r="M4" i="12"/>
  <c r="M5" i="12"/>
  <c r="M6" i="12"/>
  <c r="M7" i="12"/>
</calcChain>
</file>

<file path=xl/sharedStrings.xml><?xml version="1.0" encoding="utf-8"?>
<sst xmlns="http://schemas.openxmlformats.org/spreadsheetml/2006/main" count="149" uniqueCount="86">
  <si>
    <t>Accounting Period</t>
  </si>
  <si>
    <t>Group</t>
  </si>
  <si>
    <t>Report</t>
  </si>
  <si>
    <t>BS</t>
  </si>
  <si>
    <t>IS</t>
  </si>
  <si>
    <t>#</t>
  </si>
  <si>
    <t>Rep</t>
  </si>
  <si>
    <t>Head</t>
  </si>
  <si>
    <t>SubGroup</t>
  </si>
  <si>
    <t>Code</t>
  </si>
  <si>
    <t>Seqment</t>
  </si>
  <si>
    <t>Cost Center</t>
  </si>
  <si>
    <t>Name</t>
  </si>
  <si>
    <t>Coa</t>
  </si>
  <si>
    <t>Type</t>
  </si>
  <si>
    <t>Address</t>
  </si>
  <si>
    <t>WA</t>
  </si>
  <si>
    <t>City</t>
  </si>
  <si>
    <t>Email</t>
  </si>
  <si>
    <t>Contact</t>
  </si>
  <si>
    <t>Account Name</t>
  </si>
  <si>
    <t>Contra</t>
  </si>
  <si>
    <t>Status</t>
  </si>
  <si>
    <t>Remarks</t>
  </si>
  <si>
    <t>Active</t>
  </si>
  <si>
    <t>Number</t>
  </si>
  <si>
    <t>Norm</t>
  </si>
  <si>
    <t>Sgroup</t>
  </si>
  <si>
    <t>Description</t>
  </si>
  <si>
    <t>subsidiary</t>
  </si>
  <si>
    <t>Sort</t>
  </si>
  <si>
    <t>Company name:</t>
  </si>
  <si>
    <t>Company address:</t>
  </si>
  <si>
    <t>Start:</t>
  </si>
  <si>
    <t>End:</t>
  </si>
  <si>
    <t>Zero</t>
  </si>
  <si>
    <t>SeqCode</t>
  </si>
  <si>
    <t>Segment</t>
  </si>
  <si>
    <t>Budget</t>
  </si>
  <si>
    <t>#void</t>
  </si>
  <si>
    <t>#PHANTOM</t>
  </si>
  <si>
    <t>HELPER</t>
  </si>
  <si>
    <t>Ori Name</t>
  </si>
  <si>
    <t>#na</t>
  </si>
  <si>
    <t>code</t>
  </si>
  <si>
    <t>cc</t>
  </si>
  <si>
    <t>sub</t>
  </si>
  <si>
    <t>cost center / business segment</t>
  </si>
  <si>
    <t>subsidiary / partner</t>
  </si>
  <si>
    <t>cf</t>
  </si>
  <si>
    <t>cash flow</t>
  </si>
  <si>
    <t>CosGr</t>
  </si>
  <si>
    <t>CosNum</t>
  </si>
  <si>
    <t>#vd</t>
  </si>
  <si>
    <t>notes</t>
  </si>
  <si>
    <t>group name</t>
  </si>
  <si>
    <t>cost center</t>
  </si>
  <si>
    <t>Jl. xxx, Jakarta</t>
  </si>
  <si>
    <t>The best spreadsheet based accounting application</t>
  </si>
  <si>
    <t>Company Info</t>
  </si>
  <si>
    <t>KEWAJIBAN</t>
  </si>
  <si>
    <t>EKUITAS</t>
  </si>
  <si>
    <t>PENDAPATAN</t>
  </si>
  <si>
    <t>HPP</t>
  </si>
  <si>
    <t>BEBAN</t>
  </si>
  <si>
    <t>KEUNTUNGAN</t>
  </si>
  <si>
    <t>KERUGIAN</t>
  </si>
  <si>
    <t>AKTIVA</t>
  </si>
  <si>
    <t>OTHER</t>
  </si>
  <si>
    <t>Equity Account</t>
  </si>
  <si>
    <t>RE</t>
  </si>
  <si>
    <t>Other Settings</t>
  </si>
  <si>
    <t>note: masukkan kode akun untuk modal di sini</t>
  </si>
  <si>
    <t>develop by Cheries, 0823-4734-2652 (What's App)</t>
  </si>
  <si>
    <t>PT SimAcc Consulting</t>
  </si>
  <si>
    <t>Tax</t>
  </si>
  <si>
    <t>Idx</t>
  </si>
  <si>
    <t>SimAcc v3 - Master</t>
  </si>
  <si>
    <t>Cf</t>
  </si>
  <si>
    <t>IsCF</t>
  </si>
  <si>
    <t>kode akun untuk modal / saham pemilik</t>
  </si>
  <si>
    <t>Cash Flow CosGr</t>
  </si>
  <si>
    <t>cash flow group for account to be treated as Cash Flow</t>
  </si>
  <si>
    <t>Batch Opening Balance</t>
  </si>
  <si>
    <t>batch code for opening balance journal</t>
  </si>
  <si>
    <t>note: batch dengan kode "tax" harus di input untuk jurnal koreksi fiskal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</si>
</sst>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 mmm\ yyyy"/>
    <numFmt numFmtId="165" formatCode="000"/>
    <numFmt numFmtId="166" formatCode="00"/>
    <numFmt numFmtId="167" formatCode="0\-000"/>
  </numFmts>
  <fonts count="11" x14ac:knownFonts="1">
    <font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3" tint="0.59999389629810485"/>
      <name val="Calibri"/>
      <family val="2"/>
      <scheme val="minor"/>
    </font>
    <font>
      <b/>
      <sz val="10"/>
      <color theme="3" tint="0.59999389629810485"/>
      <name val="Calibri"/>
      <family val="2"/>
      <scheme val="minor"/>
    </font>
    <font>
      <b/>
      <i/>
      <sz val="8"/>
      <color theme="5" tint="0.39997558519241921"/>
      <name val="Calibri"/>
      <family val="2"/>
      <scheme val="minor"/>
    </font>
    <font>
      <b/>
      <sz val="16"/>
      <color theme="3" tint="0.59999389629810485"/>
      <name val="Calibri"/>
      <family val="2"/>
      <scheme val="minor"/>
    </font>
    <font>
      <sz val="10"/>
      <color theme="8" tint="0.39997558519241921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i/>
      <sz val="8"/>
      <color rgb="FFC00000"/>
      <name val="Calibri"/>
      <family val="2"/>
      <scheme val="minor"/>
    </font>
    <font>
      <sz val="9"/>
      <color theme="5" tint="0.39997558519241921"/>
      <name val="Calibri"/>
      <family val="2"/>
      <scheme val="minor"/>
    </font>
    <font>
      <sz val="10"/>
      <color theme="5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3" fontId="0" fillId="0" borderId="0" xfId="0" applyNumberFormat="1"/>
    <xf numFmtId="165" fontId="1" fillId="0" borderId="0" xfId="0" applyNumberFormat="1" applyFont="1"/>
    <xf numFmtId="0" fontId="1" fillId="0" borderId="0" xfId="0" applyFont="1"/>
    <xf numFmtId="165" fontId="0" fillId="0" borderId="0" xfId="0" applyNumberFormat="1"/>
    <xf numFmtId="0" fontId="2" fillId="3" borderId="0" xfId="0" applyFont="1" applyFill="1"/>
    <xf numFmtId="0" fontId="3" fillId="3" borderId="0" xfId="0" applyFont="1" applyFill="1"/>
    <xf numFmtId="0" fontId="5" fillId="3" borderId="0" xfId="0" applyFont="1" applyFill="1"/>
    <xf numFmtId="0" fontId="6" fillId="2" borderId="1" xfId="0" applyFont="1" applyFill="1" applyBorder="1"/>
    <xf numFmtId="164" fontId="6" fillId="2" borderId="1" xfId="0" applyNumberFormat="1" applyFont="1" applyFill="1" applyBorder="1" applyAlignment="1">
      <alignment horizontal="left"/>
    </xf>
    <xf numFmtId="0" fontId="4" fillId="3" borderId="0" xfId="0" applyFont="1" applyFill="1" applyAlignment="1">
      <alignment vertical="top"/>
    </xf>
    <xf numFmtId="0" fontId="2" fillId="3" borderId="1" xfId="0" applyFont="1" applyFill="1" applyBorder="1" applyAlignment="1">
      <alignment horizontal="right"/>
    </xf>
    <xf numFmtId="0" fontId="2" fillId="0" borderId="0" xfId="0" applyFont="1"/>
    <xf numFmtId="166" fontId="0" fillId="0" borderId="0" xfId="0" applyNumberFormat="1"/>
    <xf numFmtId="167" fontId="0" fillId="0" borderId="0" xfId="0" applyNumberFormat="1"/>
    <xf numFmtId="0" fontId="1" fillId="0" borderId="0" xfId="0" applyFont="1" applyAlignment="1">
      <alignment horizontal="center"/>
    </xf>
    <xf numFmtId="165" fontId="7" fillId="0" borderId="0" xfId="0" applyNumberFormat="1" applyFont="1"/>
    <xf numFmtId="0" fontId="8" fillId="3" borderId="0" xfId="0" applyFont="1" applyFill="1"/>
    <xf numFmtId="0" fontId="9" fillId="3" borderId="0" xfId="0" applyFont="1" applyFill="1" applyAlignment="1">
      <alignment horizontal="right"/>
    </xf>
    <xf numFmtId="0" fontId="0" fillId="0" borderId="0" xfId="0" applyAlignment="1">
      <alignment horizontal="center" vertical="center"/>
    </xf>
    <xf numFmtId="0" fontId="10" fillId="0" borderId="0" xfId="0" applyFont="1"/>
    <xf numFmtId="0" fontId="7" fillId="0" borderId="0" xfId="0" applyFont="1"/>
  </cellXfs>
  <cellStyles count="1">
    <cellStyle name="Normal" xfId="0" builtinId="0"/>
  </cellStyles>
  <dxfs count="73">
    <dxf>
      <numFmt numFmtId="165" formatCode="000"/>
    </dxf>
    <dxf>
      <numFmt numFmtId="165" formatCode="000"/>
    </dxf>
    <dxf>
      <numFmt numFmtId="165" formatCode="00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165" formatCode="000"/>
    </dxf>
    <dxf>
      <numFmt numFmtId="165" formatCode="00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165" formatCode="00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165" formatCode="000"/>
    </dxf>
    <dxf>
      <numFmt numFmtId="165" formatCode="000"/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1" tint="0.499984740745262"/>
      </font>
      <fill>
        <patternFill>
          <bgColor theme="0" tint="-0.14996795556505021"/>
        </patternFill>
      </fill>
    </dxf>
    <dxf>
      <numFmt numFmtId="165" formatCode="00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8" tint="-0.249977111117893"/>
        <name val="Calibri"/>
        <family val="2"/>
        <scheme val="minor"/>
      </font>
      <numFmt numFmtId="0" formatCode="General"/>
    </dxf>
    <dxf>
      <numFmt numFmtId="167" formatCode="0\-000"/>
    </dxf>
    <dxf>
      <font>
        <strike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165" formatCode="00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/>
        <color theme="1" tint="0.34998626667073579"/>
      </font>
      <fill>
        <patternFill>
          <bgColor rgb="FFD9EBEB"/>
        </patternFill>
      </fill>
    </dxf>
    <dxf>
      <font>
        <b val="0"/>
      </font>
      <numFmt numFmtId="166" formatCode="0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165" formatCode="00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5" tint="-0.499984740745262"/>
        <name val="Calibri"/>
        <family val="2"/>
        <scheme val="minor"/>
      </font>
      <numFmt numFmtId="0" formatCode="General"/>
    </dxf>
    <dxf>
      <numFmt numFmtId="165" formatCode="000"/>
    </dxf>
    <dxf>
      <font>
        <color rgb="FF9C0006"/>
      </font>
      <fill>
        <patternFill>
          <bgColor rgb="FFFFC7CE"/>
        </patternFill>
      </fill>
    </dxf>
    <dxf>
      <numFmt numFmtId="3" formatCode="#,##0"/>
    </dxf>
    <dxf>
      <numFmt numFmtId="0" formatCode="General"/>
    </dxf>
    <dxf>
      <numFmt numFmtId="165" formatCode="00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166" formatCode="00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66" formatCode="00"/>
    </dxf>
    <dxf>
      <font>
        <color rgb="FF9C0006"/>
      </font>
      <fill>
        <patternFill>
          <bgColor rgb="FFFFC7CE"/>
        </patternFill>
      </fill>
    </dxf>
    <dxf>
      <numFmt numFmtId="166" formatCode="00"/>
    </dxf>
    <dxf>
      <font>
        <color rgb="FF9C0006"/>
      </font>
      <fill>
        <patternFill>
          <bgColor rgb="FFFFC7CE"/>
        </patternFill>
      </fill>
    </dxf>
    <dxf>
      <fill>
        <patternFill>
          <bgColor rgb="FFDFF1A5"/>
        </patternFill>
      </fill>
    </dxf>
    <dxf>
      <font>
        <b/>
        <i val="0"/>
        <color rgb="FFE9F8BA"/>
      </font>
      <fill>
        <patternFill>
          <bgColor rgb="FF728F4F"/>
        </patternFill>
      </fill>
    </dxf>
    <dxf>
      <font>
        <b/>
        <i val="0"/>
        <color rgb="FFECF9C3"/>
      </font>
      <fill>
        <patternFill>
          <bgColor rgb="FF4B5F27"/>
        </patternFill>
      </fill>
    </dxf>
    <dxf>
      <fill>
        <patternFill>
          <bgColor rgb="FFF5FDD7"/>
        </patternFill>
      </fill>
      <border>
        <left style="thin">
          <color rgb="FFA1C674"/>
        </left>
        <right style="thin">
          <color rgb="FFA1C674"/>
        </right>
        <top style="thin">
          <color rgb="FFA1C674"/>
        </top>
        <bottom style="thin">
          <color rgb="FFA1C674"/>
        </bottom>
        <vertical style="thin">
          <color rgb="FFA1C674"/>
        </vertical>
        <horizontal style="thin">
          <color rgb="FFA1C674"/>
        </horizontal>
      </border>
    </dxf>
    <dxf>
      <fill>
        <patternFill>
          <bgColor rgb="FFF3C3DE"/>
        </patternFill>
      </fill>
    </dxf>
    <dxf>
      <font>
        <b/>
        <i val="0"/>
        <color rgb="FFF6D2E7"/>
      </font>
      <fill>
        <patternFill>
          <bgColor rgb="FF9B3F76"/>
        </patternFill>
      </fill>
    </dxf>
    <dxf>
      <font>
        <b/>
        <i val="0"/>
        <color rgb="FFFCE4F7"/>
      </font>
      <fill>
        <patternFill>
          <bgColor rgb="FF8A1A5A"/>
        </patternFill>
      </fill>
    </dxf>
    <dxf>
      <fill>
        <patternFill>
          <bgColor rgb="FFFCE4ED"/>
        </patternFill>
      </fill>
      <border>
        <left style="thin">
          <color rgb="FFDEACCD"/>
        </left>
        <right style="thin">
          <color rgb="FFDEACCD"/>
        </right>
        <top style="thin">
          <color rgb="FFDEACCD"/>
        </top>
        <bottom style="thin">
          <color rgb="FFDEACCD"/>
        </bottom>
        <vertical style="thin">
          <color rgb="FFDEACCD"/>
        </vertical>
        <horizontal style="thin">
          <color rgb="FFDEACCD"/>
        </horizontal>
      </border>
    </dxf>
    <dxf>
      <fill>
        <patternFill>
          <bgColor rgb="FFEFC4F2"/>
        </patternFill>
      </fill>
    </dxf>
    <dxf>
      <font>
        <b/>
        <i val="0"/>
        <color rgb="FFF2E7FD"/>
      </font>
      <fill>
        <patternFill>
          <bgColor rgb="FFAA72C0"/>
        </patternFill>
      </fill>
    </dxf>
    <dxf>
      <font>
        <b/>
        <i val="0"/>
        <color rgb="FFEFC4F2"/>
      </font>
      <fill>
        <patternFill>
          <bgColor rgb="FF9850B8"/>
        </patternFill>
      </fill>
    </dxf>
    <dxf>
      <fill>
        <patternFill>
          <bgColor rgb="FFF2E7FD"/>
        </patternFill>
      </fill>
      <border>
        <left style="thin">
          <color rgb="FFAE7BCB"/>
        </left>
        <right style="thin">
          <color rgb="FFAE7BCB"/>
        </right>
        <top style="thin">
          <color rgb="FFAE7BCB"/>
        </top>
        <bottom style="thin">
          <color rgb="FFAE7BCB"/>
        </bottom>
        <vertical style="thin">
          <color rgb="FFAE7BCB"/>
        </vertical>
        <horizontal style="thin">
          <color rgb="FFAE7BCB"/>
        </horizontal>
      </border>
    </dxf>
    <dxf>
      <fill>
        <patternFill>
          <bgColor rgb="FFBFDFDC"/>
        </patternFill>
      </fill>
    </dxf>
    <dxf>
      <font>
        <b/>
        <i val="0"/>
        <color rgb="FF6EE0CA"/>
      </font>
      <fill>
        <patternFill>
          <bgColor rgb="FF498383"/>
        </patternFill>
      </fill>
    </dxf>
    <dxf>
      <font>
        <b/>
        <i val="0"/>
        <color rgb="FF6EE0CA"/>
      </font>
      <fill>
        <patternFill>
          <bgColor rgb="FF20604F"/>
        </patternFill>
      </fill>
    </dxf>
    <dxf>
      <fill>
        <patternFill>
          <bgColor rgb="FFD7F5EF"/>
        </patternFill>
      </fill>
      <border>
        <left style="thin">
          <color rgb="FF6EE0CA"/>
        </left>
        <right style="thin">
          <color rgb="FF6EE0CA"/>
        </right>
        <top style="thin">
          <color rgb="FF6EE0CA"/>
        </top>
        <bottom style="thin">
          <color rgb="FF6EE0CA"/>
        </bottom>
        <vertical style="thin">
          <color rgb="FF6EE0CA"/>
        </vertical>
        <horizontal style="thin">
          <color rgb="FF6EE0CA"/>
        </horizontal>
      </border>
    </dxf>
  </dxfs>
  <tableStyles count="4" defaultTableStyle="TableStyleMedium2" defaultPivotStyle="PivotStyleLight16">
    <tableStyle name="MyGreen" pivot="0" count="4" xr9:uid="{CC65B23C-FB74-4DF8-B941-A15B2B917BA5}">
      <tableStyleElement type="wholeTable" dxfId="72"/>
      <tableStyleElement type="headerRow" dxfId="71"/>
      <tableStyleElement type="totalRow" dxfId="70"/>
      <tableStyleElement type="secondRowStripe" dxfId="69"/>
    </tableStyle>
    <tableStyle name="MyPurple" pivot="0" count="4" xr9:uid="{5A84F285-6009-4D2D-A499-84D3135770F8}">
      <tableStyleElement type="wholeTable" dxfId="68"/>
      <tableStyleElement type="headerRow" dxfId="67"/>
      <tableStyleElement type="totalRow" dxfId="66"/>
      <tableStyleElement type="secondRowStripe" dxfId="65"/>
    </tableStyle>
    <tableStyle name="MyRed" pivot="0" count="4" xr9:uid="{A659324A-B02A-4DCB-9C66-001AB1AE3EF8}">
      <tableStyleElement type="wholeTable" dxfId="64"/>
      <tableStyleElement type="headerRow" dxfId="63"/>
      <tableStyleElement type="totalRow" dxfId="62"/>
      <tableStyleElement type="secondRowStripe" dxfId="61"/>
    </tableStyle>
    <tableStyle name="MyYellow" pivot="0" count="4" xr9:uid="{C209E02F-AFCA-4E1D-922A-B7F3F6374B78}">
      <tableStyleElement type="wholeTable" dxfId="60"/>
      <tableStyleElement type="headerRow" dxfId="59"/>
      <tableStyleElement type="totalRow" dxfId="58"/>
      <tableStyleElement type="secondRowStripe" dxfId="57"/>
    </tableStyle>
  </tableStyles>
  <colors>
    <mruColors>
      <color rgb="FFDFF1A5"/>
      <color rgb="FFF5FDD7"/>
      <color rgb="FFC6E08C"/>
      <color rgb="FFA1C674"/>
      <color rgb="FFD9EBEB"/>
      <color rgb="FFCDFFFD"/>
      <color rgb="FFFFCCFF"/>
      <color rgb="FF819D41"/>
      <color rgb="FFE9F8BA"/>
      <color rgb="FF728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144517</xdr:colOff>
      <xdr:row>0</xdr:row>
      <xdr:rowOff>0</xdr:rowOff>
    </xdr:from>
    <xdr:to>
      <xdr:col>8</xdr:col>
      <xdr:colOff>367862</xdr:colOff>
      <xdr:row>1</xdr:row>
      <xdr:rowOff>98534</xdr:rowOff>
    </xdr:to>
    <xdr:sp macro="[0]!shCos.SyncCodeData" textlink="">
      <xdr:nvSpPr>
        <xdr:cNvPr id="2" name="Rectangle 1">
          <a:extLst>
            <a:ext uri="{FF2B5EF4-FFF2-40B4-BE49-F238E27FC236}">
              <a16:creationId xmlns:a16="http://schemas.microsoft.com/office/drawing/2014/main" id="{C7A13BAB-D74A-53C3-7179-58D70940D557}"/>
            </a:ext>
          </a:extLst>
        </xdr:cNvPr>
        <xdr:cNvSpPr/>
      </xdr:nvSpPr>
      <xdr:spPr>
        <a:xfrm>
          <a:off x="10602310" y="0"/>
          <a:ext cx="834259" cy="262758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Sync</a:t>
          </a:r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 Data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4D07B9-8FBD-4E3B-8793-F153E7CE2392}" name="tbCOSG" displayName="tbCOSG" ref="A1:D5" totalsRowShown="0">
  <autoFilter ref="A1:D5" xr:uid="{084D07B9-8FBD-4E3B-8793-F153E7CE2392}"/>
  <tableColumns count="4">
    <tableColumn id="1" xr3:uid="{A35F3AB6-581A-46A9-80B1-AE03AAB77049}" name="#"/>
    <tableColumn id="2" xr3:uid="{D5BB8D79-6796-43F1-8F96-B75D34AFF9BC}" name="code"/>
    <tableColumn id="4" xr3:uid="{2B8867F3-BB55-4308-83E0-08560C13C2CF}" name="group name"/>
    <tableColumn id="3" xr3:uid="{13B6FFDC-8F88-4341-A4C2-A8C714679082}" name="notes"/>
  </tableColumns>
  <tableStyleInfo name="MyRed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A1AE71-50CE-4538-9E26-BB8404BED546}" name="tbHead" displayName="tbHead" ref="A1:C11" totalsRowShown="0">
  <autoFilter ref="A1:C11" xr:uid="{7CA1AE71-50CE-4538-9E26-BB8404BED546}"/>
  <tableColumns count="3">
    <tableColumn id="1" xr3:uid="{CC39A9C6-0FA7-486D-8BEA-8B20AD103ED9}" name="#" dataDxfId="55">
      <calculatedColumnFormula>ROW()-ROW(tbHead[[#Headers],['#]])</calculatedColumnFormula>
    </tableColumn>
    <tableColumn id="2" xr3:uid="{283EDA86-7F5A-49E1-9519-4B5D03B02CF3}" name="Head"/>
    <tableColumn id="3" xr3:uid="{EB0185EC-6470-437D-B27E-752B0B860E07}" name="Report"/>
  </tableColumns>
  <tableStyleInfo name="MyRed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A56288-3463-4FF8-BE5C-D4EAA22A8AB7}" name="tbGroup" displayName="tbGroup" ref="A1:D4" totalsRowShown="0">
  <autoFilter ref="A1:D4" xr:uid="{45A56288-3463-4FF8-BE5C-D4EAA22A8AB7}"/>
  <tableColumns count="4">
    <tableColumn id="1" xr3:uid="{92883A68-E253-47D8-BC29-2BA52841B876}" name="#" dataDxfId="53">
      <calculatedColumnFormula>ROW()-ROW(tbGroup[[#Headers],['#]])</calculatedColumnFormula>
    </tableColumn>
    <tableColumn id="3" xr3:uid="{2E7BDE28-A8A4-4A77-9183-048A2676B403}" name="Group"/>
    <tableColumn id="4" xr3:uid="{266AC9D5-5262-46FF-A7E3-39EC3EF54895}" name="Head"/>
    <tableColumn id="5" xr3:uid="{D2591F5D-7E7F-4DCD-8C5A-596AA330020C}" name="Rep" dataDxfId="52">
      <calculatedColumnFormula>VLOOKUP(tbGroup[[#This Row],[Head]],tbHead[[Head]:[Report]],2,FALSE)</calculatedColumnFormula>
    </tableColumn>
  </tableColumns>
  <tableStyleInfo name="MyRe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C51E5FA-FD75-4CE6-8308-59EA0776D88F}" name="tbSGroup" displayName="tbSGroup" ref="A1:B4" totalsRowShown="0">
  <autoFilter ref="A1:B4" xr:uid="{45A56288-3463-4FF8-BE5C-D4EAA22A8AB7}"/>
  <tableColumns count="2">
    <tableColumn id="1" xr3:uid="{0A703F61-27B8-4909-A02A-2EE552F89D22}" name="#" dataDxfId="50">
      <calculatedColumnFormula>ROW()-ROW(tbSGroup[[#Headers],['#]])</calculatedColumnFormula>
    </tableColumn>
    <tableColumn id="3" xr3:uid="{AFE7E74D-CA58-4DF6-A5FA-E45BBF327CC5}" name="SubGroup"/>
  </tableColumns>
  <tableStyleInfo name="MyRe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30AA7D-7F1C-4391-A08E-CA9EEA63C4FA}" name="tbSeq" displayName="tbSeq" ref="A1:C3" totalsRowShown="0">
  <autoFilter ref="A1:C3" xr:uid="{7CA1AE71-50CE-4538-9E26-BB8404BED546}"/>
  <tableColumns count="3">
    <tableColumn id="1" xr3:uid="{ACF58CF1-3AB6-4B4F-965E-88DAB4211293}" name="#" dataDxfId="48">
      <calculatedColumnFormula>ROW()-ROW(tbSeq[[#Headers],['#]])</calculatedColumnFormula>
    </tableColumn>
    <tableColumn id="2" xr3:uid="{16B66D13-C0F8-49CD-A7E3-8EFD1D28D1CA}" name="Code"/>
    <tableColumn id="3" xr3:uid="{D85DF051-11F9-48B5-9E8C-A71E673C313A}" name="Seqment"/>
  </tableColumns>
  <tableStyleInfo name="MyYellow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F79F0F-31B0-4F9D-B5AB-DC81DAB954AE}" name="tbCc" displayName="tbCc" ref="A1:G4" totalsRowShown="0">
  <autoFilter ref="A1:G4" xr:uid="{B5F79F0F-31B0-4F9D-B5AB-DC81DAB954AE}"/>
  <tableColumns count="7">
    <tableColumn id="1" xr3:uid="{56CAB03F-8AB8-4D89-8011-941858FCD26F}" name="#" dataDxfId="44">
      <calculatedColumnFormula>ROW()-ROW(tbCc[[#Headers],['#]])</calculatedColumnFormula>
    </tableColumn>
    <tableColumn id="2" xr3:uid="{3402D460-7AA7-4EF7-A1C4-42F4C5840302}" name="Code"/>
    <tableColumn id="3" xr3:uid="{2C42579D-E06D-426A-9BA0-DADC6FA9EA6A}" name="Cost Center"/>
    <tableColumn id="6" xr3:uid="{7F58CE18-3827-4144-BFB4-DF5DFC660D90}" name="Type"/>
    <tableColumn id="4" xr3:uid="{BE66DEA3-B9E3-4C2B-BF39-E6DED59F1456}" name="SeqCode"/>
    <tableColumn id="8" xr3:uid="{B5C2126A-6C51-45D1-AF56-872E3FE36D9C}" name="Segment" dataDxfId="43">
      <calculatedColumnFormula>INDEX(tbSeq[Seqment],MATCH(tbCc[[#This Row],[SeqCode]],tbSeq[Code],0))</calculatedColumnFormula>
    </tableColumn>
    <tableColumn id="5" xr3:uid="{96DD1F12-6CEE-4CFF-B155-690B4C19375A}" name="Budget" dataDxfId="42"/>
  </tableColumns>
  <tableStyleInfo name="MyYellow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B100FF-FDFA-472B-A3A5-B5EDA73620DD}" name="tbPart" displayName="tbPart" ref="A1:K4" totalsRowShown="0">
  <autoFilter ref="A1:K4" xr:uid="{C4B100FF-FDFA-472B-A3A5-B5EDA73620DD}"/>
  <tableColumns count="11">
    <tableColumn id="1" xr3:uid="{F2F61F04-BD59-4301-87C0-C0792A00F445}" name="#" dataDxfId="40">
      <calculatedColumnFormula>ROW()-ROW(tbPart[[#Headers],['#]])</calculatedColumnFormula>
    </tableColumn>
    <tableColumn id="2" xr3:uid="{76B862C7-0DDF-46BC-81CD-1B21F57EE212}" name="Code"/>
    <tableColumn id="3" xr3:uid="{06041120-B85E-4993-8BB6-F73D06931CA7}" name="Name"/>
    <tableColumn id="4" xr3:uid="{74DD111D-EE42-4CC8-80A9-D26CD421BDA2}" name="Coa"/>
    <tableColumn id="11" xr3:uid="{C880BFF3-833F-475E-8A96-8E66FBC045D4}" name="Account Name" dataDxfId="39">
      <calculatedColumnFormula>VLOOKUP(tbPart[[#This Row],[Coa]],tbCoa[[Code]:[Ori Name]],3,FALSE)</calculatedColumnFormula>
    </tableColumn>
    <tableColumn id="5" xr3:uid="{3C96F227-47CD-42D1-9DF5-36F7ED09951A}" name="Type"/>
    <tableColumn id="10" xr3:uid="{40A1418D-74AA-4D29-9083-EF478AFE35C0}" name="Contact"/>
    <tableColumn id="6" xr3:uid="{901870B1-CB58-4F3C-95C6-544364AC5513}" name="WA"/>
    <tableColumn id="9" xr3:uid="{4D2297A0-E582-48C3-9AF7-C7A0502385FD}" name="Email"/>
    <tableColumn id="7" xr3:uid="{5EA67600-BF53-4699-A23B-1CE8DF6BCDB3}" name="Address"/>
    <tableColumn id="8" xr3:uid="{0D2CD057-D925-4784-A59F-7041651D3508}" name="City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C3534E-2442-4083-986D-2684E74CF061}" name="tbCcf" displayName="tbCcf" ref="A1:H4" totalsRowShown="0">
  <autoFilter ref="A1:H4" xr:uid="{86C3534E-2442-4083-986D-2684E74CF061}"/>
  <tableColumns count="8">
    <tableColumn id="1" xr3:uid="{A395AF9A-0479-48BC-9F17-6BF60B8916E1}" name="#" dataDxfId="35">
      <calculatedColumnFormula>ROW()-ROW(tbCcf[[#Headers],['#]])-1</calculatedColumnFormula>
    </tableColumn>
    <tableColumn id="2" xr3:uid="{01ADEC54-B71A-49A0-BBCE-E03093626744}" name="Code"/>
    <tableColumn id="3" xr3:uid="{F2BED9C1-682E-45A0-8B23-59105C6AD959}" name="Description"/>
    <tableColumn id="4" xr3:uid="{F229B9AF-9197-46B9-8C32-EFA94F7D1F8B}" name="Head"/>
    <tableColumn id="11" xr3:uid="{9BE64E05-3508-439F-AE71-C5E02B64903B}" name="Sort"/>
    <tableColumn id="5" xr3:uid="{DE67F604-773B-4C2E-88DB-29A8C1944B9D}" name="Group"/>
    <tableColumn id="7" xr3:uid="{729E8B84-FDE5-47CC-ACE2-23A72862F3FB}" name="Type"/>
    <tableColumn id="8" xr3:uid="{EF382D7E-1F8B-440C-BD55-AF1139501F19}" name="Remarks"/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E702295-0AB2-4B3C-9368-41BDF9B18125}" name="tbBatch" displayName="tbBatch" ref="A1:F4" totalsRowShown="0" headerRowDxfId="31">
  <autoFilter ref="A1:F4" xr:uid="{0E702295-0AB2-4B3C-9368-41BDF9B18125}"/>
  <sortState xmlns:xlrd2="http://schemas.microsoft.com/office/spreadsheetml/2017/richdata2" ref="A2:D4">
    <sortCondition ref="D1:D4"/>
  </sortState>
  <tableColumns count="6">
    <tableColumn id="1" xr3:uid="{24E39053-3B1D-40E4-A8B3-E4A919B9C26E}" name="#" dataDxfId="30">
      <calculatedColumnFormula>ROW()-ROW(tbBatch[[#Headers],['#]])</calculatedColumnFormula>
    </tableColumn>
    <tableColumn id="2" xr3:uid="{E40417E8-4E6A-418C-8874-13DB298580F6}" name="Code"/>
    <tableColumn id="3" xr3:uid="{FE2157F8-0879-4470-B366-863C51ECCADA}" name="Name"/>
    <tableColumn id="4" xr3:uid="{BFD6B25F-2D98-4C07-8337-D13362C69F07}" name="Type"/>
    <tableColumn id="5" xr3:uid="{C4ACAC1D-BF5B-41A4-A1F0-8D3C84BC3E75}" name="Report"/>
    <tableColumn id="6" xr3:uid="{0F713837-6F8F-4A28-9E90-6615A2FF7564}" name="IsCF"/>
  </tableColumns>
  <tableStyleInfo name="TableStyleMedium1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263ECF-E737-4355-8122-411F92471B1B}" name="tbCoa" displayName="tbCoa" ref="A1:S8" totalsRowShown="0" headerRowDxfId="24">
  <autoFilter ref="A1:S8" xr:uid="{63263ECF-E737-4355-8122-411F92471B1B}"/>
  <tableColumns count="19">
    <tableColumn id="1" xr3:uid="{587C39FC-FADF-4E17-A34E-C5C1BD14FB8C}" name="#" dataDxfId="23">
      <calculatedColumnFormula>ROW()-ROW(tbCoa[[#Headers],['#]])</calculatedColumnFormula>
    </tableColumn>
    <tableColumn id="2" xr3:uid="{C2D0176D-918A-4A5E-BD00-7DA6F1F7D709}" name="Number" dataDxfId="22"/>
    <tableColumn id="3" xr3:uid="{16999FE8-3789-42E6-84CB-226C569793AB}" name="Code"/>
    <tableColumn id="4" xr3:uid="{43FF0CF9-AEC9-4DB9-9290-87A5525D6542}" name="Tax"/>
    <tableColumn id="5" xr3:uid="{599F1360-884B-4986-AD18-87AB29EF1278}" name="Ori Name"/>
    <tableColumn id="14" xr3:uid="{AD404CFB-0EED-4E49-A0A9-C3ED71FC6E54}" name="Account Name" dataDxfId="21">
      <calculatedColumnFormula>LEFT(IF(tbCoa[[#This Row],[Status]]="Active",tbCoa[[#This Row],[Ori Name]],"[#Deactivate]"&amp;tbCoa[[#This Row],[Ori Name]]),35)</calculatedColumnFormula>
    </tableColumn>
    <tableColumn id="6" xr3:uid="{41C96298-06AB-476A-885C-E2E0146504E6}" name="Norm" dataDxfId="20"/>
    <tableColumn id="7" xr3:uid="{1612A88E-43A3-4E88-A61C-31913205F1DE}" name="Contra" dataDxfId="19"/>
    <tableColumn id="8" xr3:uid="{1D0D73DA-8510-418E-B9B8-3B395D9E2B77}" name="Status" dataDxfId="18"/>
    <tableColumn id="22" xr3:uid="{B1AD54D9-6C57-414C-8DC8-14F246341B04}" name="Head" dataDxfId="17">
      <calculatedColumnFormula>VLOOKUP(tbCoa[[#This Row],[Group]],tbGroup[[Group]:[Head]],2,FALSE)</calculatedColumnFormula>
    </tableColumn>
    <tableColumn id="10" xr3:uid="{5F583B17-4868-4816-8935-08FADAF607FF}" name="Group"/>
    <tableColumn id="11" xr3:uid="{D8BC4C0F-AE46-49DF-AEB4-903D140E559C}" name="Sgroup"/>
    <tableColumn id="21" xr3:uid="{74491141-F0BA-4C3E-BEAA-8150451DD278}" name="Rep" dataDxfId="16">
      <calculatedColumnFormula>VLOOKUP(tbCoa[[#This Row],[Group]],tbGroup[[Group]:[Rep]],3,FALSE)</calculatedColumnFormula>
    </tableColumn>
    <tableColumn id="12" xr3:uid="{37F4A92C-5BBC-4E65-97ED-943B3B1994C1}" name="Cf" dataDxfId="15"/>
    <tableColumn id="15" xr3:uid="{8A1930CE-A048-44EF-8B0D-BAE7391AE591}" name="CosGr" dataDxfId="14"/>
    <tableColumn id="17" xr3:uid="{8DB286B2-A75D-413A-A4F8-D63E31AA805E}" name="CosNum" dataDxfId="13">
      <calculatedColumnFormula>INDEX(tbCOSG['#],MATCH(tbCoa[[#This Row],[CosGr]],tbCOSG[code],0))</calculatedColumnFormula>
    </tableColumn>
    <tableColumn id="9" xr3:uid="{382ADFC9-D8EA-40DD-820D-F31C670024DC}" name="Zero" dataDxfId="12"/>
    <tableColumn id="16" xr3:uid="{A8692F2A-EAE5-4B49-BCB0-D580D2F86F2E}" name="Remarks"/>
    <tableColumn id="13" xr3:uid="{92B9F94C-363C-48C9-BC6B-6FA71FF0007B}" name="Description" dataDxfId="11">
      <calculatedColumnFormula>tbCoa[[#This Row],[Number]]&amp;"|"&amp;tbCoa[[#This Row],[Ori Name]]&amp;" ("&amp;tbCoa[[#This Row],[Code]]&amp;")"</calculatedColumnFormula>
    </tableColumn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511F575-2B1A-4EA0-A1DD-6468EAB30481}" name="tbTax" displayName="tbTax" ref="A1:G8" totalsRowShown="0">
  <autoFilter ref="A1:G8" xr:uid="{1511F575-2B1A-4EA0-A1DD-6468EAB30481}"/>
  <tableColumns count="7">
    <tableColumn id="1" xr3:uid="{EB762B4A-44D8-47BB-B5F8-0F43747A3A0A}" name="#" dataDxfId="10">
      <calculatedColumnFormula>ROW()-1</calculatedColumnFormula>
    </tableColumn>
    <tableColumn id="4" xr3:uid="{9EAE7EED-42B2-4D60-B6B7-9B0BFC765570}" name="Code"/>
    <tableColumn id="2" xr3:uid="{5DCC36BE-78DF-473C-8CBD-51FBD582B336}" name="Account Name"/>
    <tableColumn id="3" xr3:uid="{4650494C-127D-4BBF-9A07-EB38286B5AA5}" name="Group"/>
    <tableColumn id="5" xr3:uid="{0FE047D1-D3DB-469C-8AC5-F37B2AE1E272}" name="Type"/>
    <tableColumn id="7" xr3:uid="{BD738A9A-6210-4FA7-B87E-31FDBCFB6968}" name="Report"/>
    <tableColumn id="6" xr3:uid="{85D39AA0-3B05-4D0D-A659-C9226752EFBE}" name="Idx"/>
  </tableColumns>
  <tableStyleInfo name="TableStyleMedium1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B311E0D-4F24-4929-9F2F-4998A78782F9}" name="tbCOS" displayName="tbCOS" ref="A1:G8" totalsRowShown="0" dataDxfId="7">
  <autoFilter ref="A1:G8" xr:uid="{5B311E0D-4F24-4929-9F2F-4998A78782F9}"/>
  <tableColumns count="7">
    <tableColumn id="1" xr3:uid="{258DD08D-BCAC-4888-BA1B-CF54839F99D5}" name="#" dataDxfId="6">
      <calculatedColumnFormula>ROW()-ROW(tbCOS[[#Headers],['#]])</calculatedColumnFormula>
    </tableColumn>
    <tableColumn id="2" xr3:uid="{66027C50-8811-4A82-AC04-14CC0C5C6B24}" name="Number" dataDxfId="5">
      <calculatedColumnFormula>INDEX(tbCOSG['#],MATCH(tbCOS[[#This Row],[Group]],tbCOSG[code],0))</calculatedColumnFormula>
    </tableColumn>
    <tableColumn id="3" xr3:uid="{1EF8A53A-8975-47C8-9A1B-36DE743164F4}" name="Code" dataDxfId="4"/>
    <tableColumn id="4" xr3:uid="{A59C9BA7-C8E4-48D4-A746-D6E1524A154A}" name="Account Name" dataDxfId="3">
      <calculatedColumnFormula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calculatedColumnFormula>
    </tableColumn>
    <tableColumn id="5" xr3:uid="{810EC279-8F08-43B1-AC64-ED393C433B91}" name="Group" dataDxfId="2"/>
    <tableColumn id="6" xr3:uid="{83508BB5-DEB6-4FA0-BCDD-E5FA61FF7748}" name="Status" dataDxfId="1"/>
    <tableColumn id="7" xr3:uid="{4BC91A7A-69E9-4B7E-A13B-804062A22EA2}" name="Head" dataDxfId="0">
      <calculatedColumnFormula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164CB-FEE4-48B4-96C7-AFB60281E5E3}">
  <sheetPr codeName="shHelper">
    <tabColor theme="2" tint="-0.499984740745262"/>
  </sheetPr>
  <dimension ref="A1:D5"/>
  <sheetViews>
    <sheetView workbookViewId="0">
      <selection activeCell="C4" sqref="C4"/>
    </sheetView>
  </sheetViews>
  <sheetFormatPr defaultRowHeight="12.75" x14ac:dyDescent="0.2"/>
  <cols>
    <col min="1" max="1" width="5" customWidth="1"/>
    <col min="3" max="3" width="17.28515625" customWidth="1"/>
    <col min="4" max="4" width="48.5703125" customWidth="1"/>
  </cols>
  <sheetData>
    <row r="1" spans="1:4" x14ac:dyDescent="0.2">
      <c r="A1" t="s">
        <v>5</v>
      </c>
      <c r="B1" t="s">
        <v>44</v>
      </c>
      <c r="C1" t="s">
        <v>55</v>
      </c>
      <c r="D1" t="s">
        <v>54</v>
      </c>
    </row>
    <row r="2" spans="1:4" x14ac:dyDescent="0.2">
      <c r="A2">
        <v>0</v>
      </c>
      <c r="B2" t="s">
        <v>53</v>
      </c>
      <c r="C2" t="s">
        <v>39</v>
      </c>
      <c r="D2" t="s">
        <v>39</v>
      </c>
    </row>
    <row r="3" spans="1:4" x14ac:dyDescent="0.2">
      <c r="A3">
        <v>1</v>
      </c>
      <c r="B3" t="s">
        <v>45</v>
      </c>
      <c r="C3" t="s">
        <v>56</v>
      </c>
      <c r="D3" t="s">
        <v>47</v>
      </c>
    </row>
    <row r="4" spans="1:4" x14ac:dyDescent="0.2">
      <c r="A4">
        <v>2</v>
      </c>
      <c r="B4" t="s">
        <v>46</v>
      </c>
      <c r="C4" t="s">
        <v>29</v>
      </c>
      <c r="D4" t="s">
        <v>48</v>
      </c>
    </row>
    <row r="5" spans="1:4" x14ac:dyDescent="0.2">
      <c r="A5">
        <v>3</v>
      </c>
      <c r="B5" t="s">
        <v>49</v>
      </c>
      <c r="C5" t="s">
        <v>50</v>
      </c>
      <c r="D5" t="s">
        <v>50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FD499-BE8C-4D71-9E02-001EA96C7361}">
  <sheetPr codeName="shSet">
    <tabColor theme="6" tint="-0.499984740745262"/>
  </sheetPr>
  <dimension ref="A1:E28"/>
  <sheetViews>
    <sheetView showGridLines="0" zoomScale="220" zoomScaleNormal="220" workbookViewId="0">
      <selection activeCell="C19" sqref="C19"/>
    </sheetView>
  </sheetViews>
  <sheetFormatPr defaultColWidth="0" defaultRowHeight="12.75" zeroHeight="1" x14ac:dyDescent="0.2"/>
  <cols>
    <col min="1" max="1" width="2.140625" style="6" customWidth="1"/>
    <col min="2" max="2" width="21.5703125" style="6" customWidth="1"/>
    <col min="3" max="3" width="35.42578125" style="6" customWidth="1"/>
    <col min="4" max="4" width="52.7109375" style="6" customWidth="1"/>
    <col min="5" max="5" width="1.140625" style="6" customWidth="1"/>
    <col min="6" max="16384" width="9.140625" style="13" hidden="1"/>
  </cols>
  <sheetData>
    <row r="1" spans="2:4" x14ac:dyDescent="0.2">
      <c r="C1" s="19" t="s">
        <v>73</v>
      </c>
    </row>
    <row r="2" spans="2:4" ht="21" x14ac:dyDescent="0.35">
      <c r="B2" s="8" t="s">
        <v>77</v>
      </c>
    </row>
    <row r="3" spans="2:4" x14ac:dyDescent="0.2">
      <c r="B3" s="11" t="s">
        <v>58</v>
      </c>
    </row>
    <row r="4" spans="2:4" x14ac:dyDescent="0.2"/>
    <row r="5" spans="2:4" x14ac:dyDescent="0.2">
      <c r="B5" s="7" t="s">
        <v>59</v>
      </c>
    </row>
    <row r="6" spans="2:4" x14ac:dyDescent="0.2">
      <c r="B6" s="12" t="s">
        <v>31</v>
      </c>
      <c r="C6" s="9" t="s">
        <v>74</v>
      </c>
    </row>
    <row r="7" spans="2:4" x14ac:dyDescent="0.2">
      <c r="B7" s="12" t="s">
        <v>32</v>
      </c>
      <c r="C7" s="9" t="s">
        <v>57</v>
      </c>
    </row>
    <row r="8" spans="2:4" x14ac:dyDescent="0.2"/>
    <row r="9" spans="2:4" x14ac:dyDescent="0.2">
      <c r="B9" s="7" t="s">
        <v>0</v>
      </c>
    </row>
    <row r="10" spans="2:4" x14ac:dyDescent="0.2">
      <c r="B10" s="12" t="s">
        <v>33</v>
      </c>
      <c r="C10" s="10">
        <v>45870</v>
      </c>
    </row>
    <row r="11" spans="2:4" x14ac:dyDescent="0.2">
      <c r="B11" s="12" t="s">
        <v>34</v>
      </c>
      <c r="C11" s="10">
        <v>45930</v>
      </c>
    </row>
    <row r="12" spans="2:4" x14ac:dyDescent="0.2"/>
    <row r="13" spans="2:4" x14ac:dyDescent="0.2">
      <c r="B13" s="6" t="s">
        <v>71</v>
      </c>
      <c r="C13" s="18" t="s">
        <v>72</v>
      </c>
    </row>
    <row r="14" spans="2:4" x14ac:dyDescent="0.2">
      <c r="B14" s="12" t="s">
        <v>69</v>
      </c>
      <c r="C14" s="9"/>
      <c r="D14" s="9" t="s">
        <v>80</v>
      </c>
    </row>
    <row r="15" spans="2:4" x14ac:dyDescent="0.2">
      <c r="B15" s="12" t="s">
        <v>81</v>
      </c>
      <c r="C15" s="9" t="s">
        <v>49</v>
      </c>
      <c r="D15" s="9" t="s">
        <v>82</v>
      </c>
    </row>
    <row r="16" spans="2:4" x14ac:dyDescent="0.2">
      <c r="B16" s="12" t="s">
        <v>83</v>
      </c>
      <c r="C16" s="9"/>
      <c r="D16" s="9" t="s">
        <v>84</v>
      </c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</sheetData>
  <dataValidations count="3">
    <dataValidation type="list" allowBlank="1" showInputMessage="1" showErrorMessage="1" sqref="C14" xr:uid="{08DB2954-68DD-4EF9-9C36-407F26A8C6B0}">
      <formula1>_coa</formula1>
    </dataValidation>
    <dataValidation type="list" allowBlank="1" showInputMessage="1" showErrorMessage="1" sqref="C15" xr:uid="{33CA4AEA-E094-4644-8CD5-391650855A31}">
      <formula1>_cosGroup</formula1>
    </dataValidation>
    <dataValidation type="list" allowBlank="1" showInputMessage="1" showErrorMessage="1" sqref="C16" xr:uid="{D845921B-5BEE-49EB-B97F-739CD06433C9}">
      <formula1>_jb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63348-8D61-463E-8EFC-3533CCACC857}">
  <sheetPr codeName="shHead">
    <tabColor rgb="FFFFCCFF"/>
  </sheetPr>
  <dimension ref="A1:C11"/>
  <sheetViews>
    <sheetView showGridLines="0" zoomScale="280" zoomScaleNormal="280" workbookViewId="0">
      <selection activeCell="B11" sqref="B11"/>
    </sheetView>
  </sheetViews>
  <sheetFormatPr defaultRowHeight="12.75" x14ac:dyDescent="0.2"/>
  <cols>
    <col min="1" max="1" width="4.140625" bestFit="1" customWidth="1"/>
    <col min="2" max="2" width="21.140625" customWidth="1"/>
    <col min="3" max="3" width="8.7109375" bestFit="1" customWidth="1"/>
  </cols>
  <sheetData>
    <row r="1" spans="1:3" x14ac:dyDescent="0.2">
      <c r="A1" t="s">
        <v>5</v>
      </c>
      <c r="B1" t="s">
        <v>7</v>
      </c>
      <c r="C1" t="s">
        <v>2</v>
      </c>
    </row>
    <row r="2" spans="1:3" x14ac:dyDescent="0.2">
      <c r="A2" s="14">
        <f>ROW()-ROW(tbHead[[#Headers],['#]])</f>
        <v>1</v>
      </c>
      <c r="B2" t="s">
        <v>67</v>
      </c>
      <c r="C2" t="s">
        <v>3</v>
      </c>
    </row>
    <row r="3" spans="1:3" x14ac:dyDescent="0.2">
      <c r="A3" s="14">
        <f>ROW()-ROW(tbHead[[#Headers],['#]])</f>
        <v>2</v>
      </c>
      <c r="B3" t="s">
        <v>60</v>
      </c>
      <c r="C3" t="s">
        <v>3</v>
      </c>
    </row>
    <row r="4" spans="1:3" x14ac:dyDescent="0.2">
      <c r="A4" s="14">
        <f>ROW()-ROW(tbHead[[#Headers],['#]])</f>
        <v>3</v>
      </c>
      <c r="B4" t="s">
        <v>61</v>
      </c>
      <c r="C4" t="s">
        <v>70</v>
      </c>
    </row>
    <row r="5" spans="1:3" x14ac:dyDescent="0.2">
      <c r="A5" s="14">
        <f>ROW()-ROW(tbHead[[#Headers],['#]])</f>
        <v>4</v>
      </c>
      <c r="B5" t="s">
        <v>62</v>
      </c>
      <c r="C5" t="s">
        <v>4</v>
      </c>
    </row>
    <row r="6" spans="1:3" x14ac:dyDescent="0.2">
      <c r="A6" s="14">
        <f>ROW()-ROW(tbHead[[#Headers],['#]])</f>
        <v>5</v>
      </c>
      <c r="B6" t="s">
        <v>63</v>
      </c>
      <c r="C6" t="s">
        <v>4</v>
      </c>
    </row>
    <row r="7" spans="1:3" x14ac:dyDescent="0.2">
      <c r="A7" s="14">
        <f>ROW()-ROW(tbHead[[#Headers],['#]])</f>
        <v>6</v>
      </c>
      <c r="B7" t="s">
        <v>64</v>
      </c>
      <c r="C7" t="s">
        <v>4</v>
      </c>
    </row>
    <row r="8" spans="1:3" x14ac:dyDescent="0.2">
      <c r="A8" s="14">
        <f>ROW()-ROW(tbHead[[#Headers],['#]])</f>
        <v>7</v>
      </c>
      <c r="B8" t="s">
        <v>65</v>
      </c>
      <c r="C8" t="s">
        <v>4</v>
      </c>
    </row>
    <row r="9" spans="1:3" x14ac:dyDescent="0.2">
      <c r="A9" s="14">
        <f>ROW()-ROW(tbHead[[#Headers],['#]])</f>
        <v>8</v>
      </c>
      <c r="B9" t="s">
        <v>66</v>
      </c>
      <c r="C9" t="s">
        <v>4</v>
      </c>
    </row>
    <row r="10" spans="1:3" x14ac:dyDescent="0.2">
      <c r="A10" s="14">
        <f>ROW()-ROW(tbHead[[#Headers],['#]])</f>
        <v>9</v>
      </c>
      <c r="B10" t="s">
        <v>41</v>
      </c>
      <c r="C10" t="s">
        <v>68</v>
      </c>
    </row>
    <row r="11" spans="1:3" x14ac:dyDescent="0.2">
      <c r="A11" s="14">
        <f>ROW()-ROW(tbHead[[#Headers],['#]])</f>
        <v>10</v>
      </c>
      <c r="B11" t="s">
        <v>40</v>
      </c>
      <c r="C11" t="s">
        <v>43</v>
      </c>
    </row>
  </sheetData>
  <conditionalFormatting sqref="B2:B11">
    <cfRule type="duplicateValues" dxfId="56" priority="32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06256-9748-4E7A-9BE4-FAA4EA2A1DFA}">
  <sheetPr codeName="shGroup">
    <tabColor rgb="FFFFCCFF"/>
  </sheetPr>
  <dimension ref="A1:D4"/>
  <sheetViews>
    <sheetView showGridLines="0" zoomScale="190" zoomScaleNormal="190" workbookViewId="0">
      <selection activeCell="B3" sqref="B3"/>
    </sheetView>
  </sheetViews>
  <sheetFormatPr defaultRowHeight="12.75" x14ac:dyDescent="0.2"/>
  <cols>
    <col min="1" max="1" width="4.140625" bestFit="1" customWidth="1"/>
    <col min="2" max="2" width="34.28515625" customWidth="1"/>
    <col min="3" max="3" width="14.85546875" bestFit="1" customWidth="1"/>
    <col min="4" max="4" width="8" customWidth="1"/>
  </cols>
  <sheetData>
    <row r="1" spans="1:4" x14ac:dyDescent="0.2">
      <c r="A1" t="s">
        <v>5</v>
      </c>
      <c r="B1" t="s">
        <v>1</v>
      </c>
      <c r="C1" t="s">
        <v>7</v>
      </c>
      <c r="D1" t="s">
        <v>6</v>
      </c>
    </row>
    <row r="2" spans="1:4" x14ac:dyDescent="0.2">
      <c r="A2" s="14">
        <f>ROW()-ROW(tbGroup[[#Headers],['#]])</f>
        <v>1</v>
      </c>
      <c r="D2" t="e">
        <f>VLOOKUP(tbGroup[[#This Row],[Head]],tbHead[[Head]:[Report]],2,FALSE)</f>
        <v>#N/A</v>
      </c>
    </row>
    <row r="3" spans="1:4" x14ac:dyDescent="0.2">
      <c r="A3" s="14">
        <f>ROW()-ROW(tbGroup[[#Headers],['#]])</f>
        <v>2</v>
      </c>
      <c r="D3" t="e">
        <f>VLOOKUP(tbGroup[[#This Row],[Head]],tbHead[[Head]:[Report]],2,FALSE)</f>
        <v>#N/A</v>
      </c>
    </row>
    <row r="4" spans="1:4" x14ac:dyDescent="0.2">
      <c r="A4" s="14">
        <f>ROW()-ROW(tbGroup[[#Headers],['#]])</f>
        <v>3</v>
      </c>
      <c r="D4" t="e">
        <f>VLOOKUP(tbGroup[[#This Row],[Head]],tbHead[[Head]:[Report]],2,FALSE)</f>
        <v>#N/A</v>
      </c>
    </row>
  </sheetData>
  <conditionalFormatting sqref="B2:B4">
    <cfRule type="duplicateValues" dxfId="54" priority="320"/>
  </conditionalFormatting>
  <dataValidations count="1">
    <dataValidation type="list" allowBlank="1" showInputMessage="1" showErrorMessage="1" sqref="C2:C4" xr:uid="{408599DD-2415-4456-BDAE-4C09B59A4550}">
      <formula1>_head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BD2C9-9C32-422D-B80E-2A7152709DA2}">
  <sheetPr codeName="shSgroup">
    <tabColor rgb="FFFFCCFF"/>
  </sheetPr>
  <dimension ref="A1:B4"/>
  <sheetViews>
    <sheetView showGridLines="0" zoomScale="235" zoomScaleNormal="235" workbookViewId="0">
      <selection activeCell="B4" sqref="B4"/>
    </sheetView>
  </sheetViews>
  <sheetFormatPr defaultRowHeight="12.75" x14ac:dyDescent="0.2"/>
  <cols>
    <col min="1" max="1" width="4.140625" bestFit="1" customWidth="1"/>
    <col min="2" max="2" width="34.140625" customWidth="1"/>
    <col min="3" max="3" width="14.85546875" bestFit="1" customWidth="1"/>
    <col min="4" max="4" width="6.28515625" bestFit="1" customWidth="1"/>
  </cols>
  <sheetData>
    <row r="1" spans="1:2" x14ac:dyDescent="0.2">
      <c r="A1" t="s">
        <v>5</v>
      </c>
      <c r="B1" t="s">
        <v>8</v>
      </c>
    </row>
    <row r="2" spans="1:2" x14ac:dyDescent="0.2">
      <c r="A2" s="14">
        <f>ROW()-ROW(tbSGroup[[#Headers],['#]])</f>
        <v>1</v>
      </c>
    </row>
    <row r="3" spans="1:2" x14ac:dyDescent="0.2">
      <c r="A3" s="14">
        <f>ROW()-ROW(tbSGroup[[#Headers],['#]])</f>
        <v>2</v>
      </c>
    </row>
    <row r="4" spans="1:2" x14ac:dyDescent="0.2">
      <c r="A4" s="14">
        <f>ROW()-ROW(tbSGroup[[#Headers],['#]])</f>
        <v>3</v>
      </c>
    </row>
  </sheetData>
  <conditionalFormatting sqref="B2:B4">
    <cfRule type="duplicateValues" dxfId="51" priority="319"/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FA94-5E54-451C-A1C2-F7DA34334464}">
  <sheetPr codeName="shSeq">
    <tabColor theme="9" tint="0.79998168889431442"/>
  </sheetPr>
  <dimension ref="A1:C3"/>
  <sheetViews>
    <sheetView showGridLines="0" tabSelected="1" zoomScale="280" zoomScaleNormal="280" workbookViewId="0">
      <selection activeCell="A3" sqref="A3"/>
    </sheetView>
  </sheetViews>
  <sheetFormatPr defaultRowHeight="12.75" x14ac:dyDescent="0.2"/>
  <cols>
    <col min="1" max="1" width="4.140625" bestFit="1" customWidth="1"/>
    <col min="2" max="2" width="7.28515625" bestFit="1" customWidth="1"/>
    <col min="3" max="3" width="24.7109375" customWidth="1"/>
  </cols>
  <sheetData>
    <row r="1" spans="1:3" x14ac:dyDescent="0.2">
      <c r="A1" t="s">
        <v>5</v>
      </c>
      <c r="B1" t="s">
        <v>9</v>
      </c>
      <c r="C1" t="s">
        <v>10</v>
      </c>
    </row>
    <row r="2" spans="1:3" x14ac:dyDescent="0.2">
      <c r="A2">
        <f>ROW()-ROW(tbSeq[[#Headers],['#]])</f>
        <v>1</v>
      </c>
    </row>
    <row r="3" spans="1:3" x14ac:dyDescent="0.2">
      <c r="A3">
        <f>ROW()-ROW(tbSeq[[#Headers],['#]])</f>
        <v>2</v>
      </c>
    </row>
  </sheetData>
  <conditionalFormatting sqref="B2:B3">
    <cfRule type="duplicateValues" dxfId="49" priority="318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EB22-2573-4567-B795-98AD9AF86060}">
  <sheetPr codeName="shCc">
    <tabColor rgb="FFA1C674"/>
  </sheetPr>
  <dimension ref="A1:G4"/>
  <sheetViews>
    <sheetView showGridLines="0" zoomScale="130" zoomScaleNormal="130" workbookViewId="0">
      <selection activeCell="B4" sqref="B4"/>
    </sheetView>
  </sheetViews>
  <sheetFormatPr defaultRowHeight="12.75" x14ac:dyDescent="0.2"/>
  <cols>
    <col min="1" max="1" width="6.42578125" customWidth="1"/>
    <col min="2" max="2" width="24.28515625" customWidth="1"/>
    <col min="3" max="3" width="115.7109375" customWidth="1"/>
    <col min="4" max="4" width="6.85546875" customWidth="1"/>
    <col min="5" max="5" width="9.7109375" bestFit="1" customWidth="1"/>
    <col min="6" max="6" width="10.28515625" bestFit="1" customWidth="1"/>
    <col min="7" max="7" width="15.85546875" customWidth="1"/>
  </cols>
  <sheetData>
    <row r="1" spans="1:7" x14ac:dyDescent="0.2">
      <c r="A1" t="s">
        <v>5</v>
      </c>
      <c r="B1" t="s">
        <v>9</v>
      </c>
      <c r="C1" t="s">
        <v>11</v>
      </c>
      <c r="D1" t="s">
        <v>14</v>
      </c>
      <c r="E1" t="s">
        <v>36</v>
      </c>
      <c r="F1" t="s">
        <v>37</v>
      </c>
      <c r="G1" t="s">
        <v>38</v>
      </c>
    </row>
    <row r="2" spans="1:7" x14ac:dyDescent="0.2">
      <c r="A2" s="5">
        <f>ROW()-ROW(tbCc[[#Headers],['#]])</f>
        <v>1</v>
      </c>
      <c r="F2" t="e">
        <f>INDEX(tbSeq[Seqment],MATCH(tbCc[[#This Row],[SeqCode]],tbSeq[Code],0))</f>
        <v>#N/A</v>
      </c>
      <c r="G2" s="2"/>
    </row>
    <row r="3" spans="1:7" x14ac:dyDescent="0.2">
      <c r="A3" s="5">
        <f>ROW()-ROW(tbCc[[#Headers],['#]])</f>
        <v>2</v>
      </c>
      <c r="F3" t="e">
        <f>INDEX(tbSeq[Seqment],MATCH(tbCc[[#This Row],[SeqCode]],tbSeq[Code],0))</f>
        <v>#N/A</v>
      </c>
      <c r="G3" s="2"/>
    </row>
    <row r="4" spans="1:7" x14ac:dyDescent="0.2">
      <c r="A4" s="5">
        <f>ROW()-ROW(tbCc[[#Headers],['#]])</f>
        <v>3</v>
      </c>
      <c r="F4" t="e">
        <f>INDEX(tbSeq[Seqment],MATCH(tbCc[[#This Row],[SeqCode]],tbSeq[Code],0))</f>
        <v>#N/A</v>
      </c>
      <c r="G4" s="2"/>
    </row>
  </sheetData>
  <conditionalFormatting sqref="D2:D4">
    <cfRule type="cellIs" dxfId="47" priority="1" operator="equal">
      <formula>"out"</formula>
    </cfRule>
    <cfRule type="cellIs" dxfId="46" priority="2" operator="equal">
      <formula>"in"</formula>
    </cfRule>
  </conditionalFormatting>
  <conditionalFormatting sqref="B2:B4">
    <cfRule type="duplicateValues" dxfId="45" priority="317"/>
  </conditionalFormatting>
  <dataValidations count="2">
    <dataValidation type="list" allowBlank="1" showInputMessage="1" showErrorMessage="1" sqref="E2:E4" xr:uid="{21C415B5-79FE-44CB-A909-0E81EE04FFCA}">
      <formula1>_seq</formula1>
    </dataValidation>
    <dataValidation type="list" allowBlank="1" showInputMessage="1" showErrorMessage="1" sqref="D2:D4" xr:uid="{0A28D048-4B11-4300-906C-B93706C7E034}">
      <formula1>"in,out"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608D7-4C84-4060-BD9F-0540347358CA}">
  <sheetPr codeName="shSub">
    <tabColor rgb="FFA1C674"/>
  </sheetPr>
  <dimension ref="A1:K4"/>
  <sheetViews>
    <sheetView showGridLines="0" zoomScale="145" zoomScaleNormal="145" workbookViewId="0">
      <selection activeCell="B4" sqref="B4"/>
    </sheetView>
  </sheetViews>
  <sheetFormatPr defaultRowHeight="12.75" x14ac:dyDescent="0.2"/>
  <cols>
    <col min="1" max="1" width="4.140625" bestFit="1" customWidth="1"/>
    <col min="2" max="2" width="22.5703125" customWidth="1"/>
    <col min="3" max="3" width="24.7109375" customWidth="1"/>
    <col min="4" max="4" width="15.85546875" customWidth="1"/>
    <col min="5" max="5" width="24.85546875" customWidth="1"/>
    <col min="6" max="6" width="13.7109375" customWidth="1"/>
    <col min="7" max="11" width="21.7109375" customWidth="1"/>
  </cols>
  <sheetData>
    <row r="1" spans="1:11" x14ac:dyDescent="0.2">
      <c r="A1" t="s">
        <v>5</v>
      </c>
      <c r="B1" t="s">
        <v>9</v>
      </c>
      <c r="C1" t="s">
        <v>12</v>
      </c>
      <c r="D1" t="s">
        <v>13</v>
      </c>
      <c r="E1" t="s">
        <v>20</v>
      </c>
      <c r="F1" t="s">
        <v>14</v>
      </c>
      <c r="G1" t="s">
        <v>19</v>
      </c>
      <c r="H1" t="s">
        <v>16</v>
      </c>
      <c r="I1" t="s">
        <v>18</v>
      </c>
      <c r="J1" t="s">
        <v>15</v>
      </c>
      <c r="K1" t="s">
        <v>17</v>
      </c>
    </row>
    <row r="2" spans="1:11" x14ac:dyDescent="0.2">
      <c r="A2" s="5">
        <f>ROW()-ROW(tbPart[[#Headers],['#]])</f>
        <v>1</v>
      </c>
      <c r="E2" s="21" t="e">
        <f>VLOOKUP(tbPart[[#This Row],[Coa]],tbCoa[[Code]:[Ori Name]],3,FALSE)</f>
        <v>#N/A</v>
      </c>
    </row>
    <row r="3" spans="1:11" x14ac:dyDescent="0.2">
      <c r="A3" s="5">
        <f>ROW()-ROW(tbPart[[#Headers],['#]])</f>
        <v>2</v>
      </c>
      <c r="E3" s="21" t="e">
        <f>VLOOKUP(tbPart[[#This Row],[Coa]],tbCoa[[Code]:[Ori Name]],3,FALSE)</f>
        <v>#N/A</v>
      </c>
    </row>
    <row r="4" spans="1:11" x14ac:dyDescent="0.2">
      <c r="A4" s="5">
        <f>ROW()-ROW(tbPart[[#Headers],['#]])</f>
        <v>3</v>
      </c>
      <c r="E4" s="21" t="e">
        <f>VLOOKUP(tbPart[[#This Row],[Coa]],tbCoa[[Code]:[Ori Name]],3,FALSE)</f>
        <v>#N/A</v>
      </c>
    </row>
  </sheetData>
  <conditionalFormatting sqref="B2:B4">
    <cfRule type="duplicateValues" dxfId="41" priority="316"/>
  </conditionalFormatting>
  <dataValidations count="2">
    <dataValidation type="list" allowBlank="1" showInputMessage="1" showErrorMessage="1" sqref="F2:F4" xr:uid="{3FB39184-E45F-4C03-8D4C-DCDADFD1F4A9}">
      <formula1>"Customer,Vendor,Creditor,Employee,Others,#Void"</formula1>
    </dataValidation>
    <dataValidation type="list" allowBlank="1" showInputMessage="1" showErrorMessage="1" sqref="D2:D4" xr:uid="{8CA76ECD-EF4E-4442-B204-AFFFE20A0DFD}">
      <formula1>_coa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243D8-EE7B-481F-A826-B3D5BF45F2E2}">
  <sheetPr codeName="shCcf">
    <tabColor rgb="FFA1C674"/>
  </sheetPr>
  <dimension ref="A1:H4"/>
  <sheetViews>
    <sheetView showGridLines="0" zoomScale="160" zoomScaleNormal="160" workbookViewId="0">
      <selection activeCell="C4" sqref="C4"/>
    </sheetView>
  </sheetViews>
  <sheetFormatPr defaultRowHeight="12.75" x14ac:dyDescent="0.2"/>
  <cols>
    <col min="1" max="1" width="4.140625" bestFit="1" customWidth="1"/>
    <col min="2" max="2" width="16.5703125" customWidth="1"/>
    <col min="3" max="3" width="51.85546875" customWidth="1"/>
    <col min="4" max="4" width="11.85546875" customWidth="1"/>
    <col min="5" max="5" width="6.5703125" bestFit="1" customWidth="1"/>
    <col min="6" max="6" width="39.42578125" customWidth="1"/>
    <col min="7" max="7" width="7" bestFit="1" customWidth="1"/>
    <col min="8" max="8" width="41.42578125" customWidth="1"/>
    <col min="9" max="9" width="10" customWidth="1"/>
  </cols>
  <sheetData>
    <row r="1" spans="1:8" x14ac:dyDescent="0.2">
      <c r="A1" t="s">
        <v>5</v>
      </c>
      <c r="B1" t="s">
        <v>9</v>
      </c>
      <c r="C1" t="s">
        <v>28</v>
      </c>
      <c r="D1" t="s">
        <v>7</v>
      </c>
      <c r="E1" t="s">
        <v>30</v>
      </c>
      <c r="F1" t="s">
        <v>1</v>
      </c>
      <c r="G1" t="s">
        <v>14</v>
      </c>
      <c r="H1" t="s">
        <v>23</v>
      </c>
    </row>
    <row r="2" spans="1:8" x14ac:dyDescent="0.2">
      <c r="A2" s="3">
        <f>ROW()-ROW(tbCcf[[#Headers],['#]])-1</f>
        <v>0</v>
      </c>
    </row>
    <row r="3" spans="1:8" x14ac:dyDescent="0.2">
      <c r="A3" s="3">
        <f>ROW()-ROW(tbCcf[[#Headers],['#]])-1</f>
        <v>1</v>
      </c>
    </row>
    <row r="4" spans="1:8" x14ac:dyDescent="0.2">
      <c r="A4" s="3">
        <f>ROW()-ROW(tbCcf[[#Headers],['#]])-1</f>
        <v>2</v>
      </c>
    </row>
  </sheetData>
  <conditionalFormatting sqref="G2:G4">
    <cfRule type="cellIs" dxfId="38" priority="2" operator="equal">
      <formula>"outflow"</formula>
    </cfRule>
    <cfRule type="cellIs" dxfId="37" priority="3" operator="equal">
      <formula>"inflow"</formula>
    </cfRule>
  </conditionalFormatting>
  <conditionalFormatting sqref="B2:B4">
    <cfRule type="duplicateValues" dxfId="36" priority="315"/>
  </conditionalFormatting>
  <dataValidations count="2">
    <dataValidation type="list" allowBlank="1" showInputMessage="1" showErrorMessage="1" sqref="D2:D4" xr:uid="{2F6624F3-FF16-442F-AE8A-4562CE44778F}">
      <formula1>"OPERATING,INVESTING,FINANCING,OTHERS,#VOID"</formula1>
    </dataValidation>
    <dataValidation type="list" allowBlank="1" showInputMessage="1" showErrorMessage="1" sqref="G2:G4" xr:uid="{72FA73C8-366D-457E-A4B8-8945D91F1EE5}">
      <formula1>"inflow,outflow"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B093C-6E2E-4B9C-B5BB-1703E936B69C}">
  <sheetPr codeName="shJb">
    <tabColor theme="2" tint="-0.499984740745262"/>
  </sheetPr>
  <dimension ref="A1:H4"/>
  <sheetViews>
    <sheetView showGridLines="0" zoomScale="205" zoomScaleNormal="205" workbookViewId="0">
      <selection activeCell="B4" sqref="B4"/>
    </sheetView>
  </sheetViews>
  <sheetFormatPr defaultRowHeight="12.75" x14ac:dyDescent="0.2"/>
  <cols>
    <col min="1" max="1" width="4.140625" bestFit="1" customWidth="1"/>
    <col min="2" max="2" width="12.7109375" customWidth="1"/>
    <col min="3" max="3" width="45" customWidth="1"/>
    <col min="4" max="4" width="19.5703125" customWidth="1"/>
    <col min="5" max="5" width="8.7109375" bestFit="1" customWidth="1"/>
    <col min="6" max="6" width="7.42578125" customWidth="1"/>
    <col min="7" max="7" width="1.28515625" customWidth="1"/>
    <col min="8" max="9" width="15.7109375" customWidth="1"/>
  </cols>
  <sheetData>
    <row r="1" spans="1:8" x14ac:dyDescent="0.2">
      <c r="A1" s="20" t="s">
        <v>5</v>
      </c>
      <c r="B1" s="20" t="s">
        <v>9</v>
      </c>
      <c r="C1" s="20" t="s">
        <v>12</v>
      </c>
      <c r="D1" s="20" t="s">
        <v>14</v>
      </c>
      <c r="E1" s="20" t="s">
        <v>2</v>
      </c>
      <c r="F1" s="20" t="s">
        <v>79</v>
      </c>
      <c r="H1" t="s">
        <v>85</v>
      </c>
    </row>
    <row r="2" spans="1:8" x14ac:dyDescent="0.2">
      <c r="A2" s="14">
        <f>ROW()-ROW(tbBatch[[#Headers],['#]])</f>
        <v>1</v>
      </c>
    </row>
    <row r="3" spans="1:8" x14ac:dyDescent="0.2">
      <c r="A3" s="14">
        <f>ROW()-ROW(tbBatch[[#Headers],['#]])</f>
        <v>2</v>
      </c>
    </row>
    <row r="4" spans="1:8" x14ac:dyDescent="0.2">
      <c r="A4" s="14">
        <f>ROW()-ROW(tbBatch[[#Headers],['#]])</f>
        <v>3</v>
      </c>
    </row>
  </sheetData>
  <conditionalFormatting sqref="F2:F4">
    <cfRule type="cellIs" dxfId="34" priority="1" operator="equal">
      <formula>FALSE</formula>
    </cfRule>
    <cfRule type="cellIs" dxfId="33" priority="2" operator="equal">
      <formula>TRUE</formula>
    </cfRule>
  </conditionalFormatting>
  <conditionalFormatting sqref="B2:B4">
    <cfRule type="duplicateValues" dxfId="32" priority="314"/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F4FB7-61EA-429B-A16B-A8CE4B4E2032}">
  <sheetPr codeName="shCoa">
    <tabColor theme="2" tint="-0.499984740745262"/>
  </sheetPr>
  <dimension ref="A1:S8"/>
  <sheetViews>
    <sheetView showGridLines="0" zoomScale="120" zoomScaleNormal="120" workbookViewId="0">
      <selection activeCell="B5" sqref="B5"/>
    </sheetView>
  </sheetViews>
  <sheetFormatPr defaultRowHeight="12.75" x14ac:dyDescent="0.2"/>
  <cols>
    <col min="1" max="1" width="4.5703125" customWidth="1"/>
    <col min="2" max="2" width="8.42578125" customWidth="1"/>
    <col min="3" max="3" width="13.140625" customWidth="1"/>
    <col min="4" max="4" width="7.5703125" customWidth="1"/>
    <col min="5" max="5" width="39.5703125" customWidth="1"/>
    <col min="6" max="6" width="37" customWidth="1"/>
    <col min="7" max="7" width="7.85546875" bestFit="1" customWidth="1"/>
    <col min="8" max="9" width="8.42578125" customWidth="1"/>
    <col min="10" max="10" width="12.85546875" customWidth="1"/>
    <col min="11" max="11" width="21.42578125" customWidth="1"/>
    <col min="12" max="12" width="24.28515625" bestFit="1" customWidth="1"/>
    <col min="13" max="13" width="6.28515625" bestFit="1" customWidth="1"/>
    <col min="14" max="14" width="9.85546875" customWidth="1"/>
    <col min="15" max="15" width="8.28515625" customWidth="1"/>
    <col min="16" max="16" width="10.42578125" customWidth="1"/>
    <col min="17" max="17" width="8" customWidth="1"/>
    <col min="18" max="18" width="39.5703125" customWidth="1"/>
    <col min="19" max="19" width="58.7109375" customWidth="1"/>
    <col min="21" max="21" width="11.140625" customWidth="1"/>
  </cols>
  <sheetData>
    <row r="1" spans="1:19" x14ac:dyDescent="0.2">
      <c r="A1" s="1" t="s">
        <v>5</v>
      </c>
      <c r="B1" s="1" t="s">
        <v>25</v>
      </c>
      <c r="C1" s="1" t="s">
        <v>9</v>
      </c>
      <c r="D1" s="1" t="s">
        <v>75</v>
      </c>
      <c r="E1" s="1" t="s">
        <v>42</v>
      </c>
      <c r="F1" s="1" t="s">
        <v>20</v>
      </c>
      <c r="G1" s="1" t="s">
        <v>26</v>
      </c>
      <c r="H1" s="1" t="s">
        <v>21</v>
      </c>
      <c r="I1" s="1" t="s">
        <v>22</v>
      </c>
      <c r="J1" s="1" t="s">
        <v>7</v>
      </c>
      <c r="K1" s="1" t="s">
        <v>1</v>
      </c>
      <c r="L1" s="1" t="s">
        <v>27</v>
      </c>
      <c r="M1" s="1" t="s">
        <v>6</v>
      </c>
      <c r="N1" s="1" t="s">
        <v>78</v>
      </c>
      <c r="O1" s="1" t="s">
        <v>51</v>
      </c>
      <c r="P1" s="1" t="s">
        <v>52</v>
      </c>
      <c r="Q1" s="1" t="s">
        <v>35</v>
      </c>
      <c r="R1" s="1" t="s">
        <v>23</v>
      </c>
      <c r="S1" s="1" t="s">
        <v>28</v>
      </c>
    </row>
    <row r="2" spans="1:19" x14ac:dyDescent="0.2">
      <c r="A2" s="3">
        <f>ROW()-ROW(tbCoa[[#Headers],['#]])</f>
        <v>1</v>
      </c>
      <c r="B2" s="15"/>
      <c r="F2" s="22" t="str">
        <f>LEFT(IF(tbCoa[[#This Row],[Status]]="Active",tbCoa[[#This Row],[Ori Name]],"[#Deactivate]"&amp;tbCoa[[#This Row],[Ori Name]]),35)</f>
        <v>[#Deactivate]</v>
      </c>
      <c r="G2" s="1"/>
      <c r="H2" s="1"/>
      <c r="I2" s="1"/>
      <c r="J2" s="4" t="e">
        <f>VLOOKUP(tbCoa[[#This Row],[Group]],tbGroup[[Group]:[Head]],2,FALSE)</f>
        <v>#N/A</v>
      </c>
      <c r="M2" s="4" t="e">
        <f>VLOOKUP(tbCoa[[#This Row],[Group]],tbGroup[[Group]:[Rep]],3,FALSE)</f>
        <v>#N/A</v>
      </c>
      <c r="N2" s="4"/>
      <c r="O2" s="16"/>
      <c r="P2" s="4" t="e">
        <f>INDEX(tbCOSG['#],MATCH(tbCoa[[#This Row],[CosGr]],tbCOSG[code],0))</f>
        <v>#N/A</v>
      </c>
      <c r="Q2" s="1"/>
      <c r="S2" s="22" t="str">
        <f>tbCoa[[#This Row],[Number]]&amp;"|"&amp;tbCoa[[#This Row],[Ori Name]]&amp;" ("&amp;tbCoa[[#This Row],[Code]]&amp;")"</f>
        <v>| ()</v>
      </c>
    </row>
    <row r="3" spans="1:19" x14ac:dyDescent="0.2">
      <c r="A3" s="3">
        <f>ROW()-ROW(tbCoa[[#Headers],['#]])</f>
        <v>2</v>
      </c>
      <c r="B3" s="15"/>
      <c r="F3" s="22" t="str">
        <f>LEFT(IF(tbCoa[[#This Row],[Status]]="Active",tbCoa[[#This Row],[Ori Name]],"[#Deactivate]"&amp;tbCoa[[#This Row],[Ori Name]]),35)</f>
        <v>[#Deactivate]</v>
      </c>
      <c r="G3" s="1"/>
      <c r="H3" s="1"/>
      <c r="I3" s="1"/>
      <c r="J3" s="4" t="e">
        <f>VLOOKUP(tbCoa[[#This Row],[Group]],tbGroup[[Group]:[Head]],2,FALSE)</f>
        <v>#N/A</v>
      </c>
      <c r="M3" s="4" t="e">
        <f>VLOOKUP(tbCoa[[#This Row],[Group]],tbGroup[[Group]:[Rep]],3,FALSE)</f>
        <v>#N/A</v>
      </c>
      <c r="N3" s="4"/>
      <c r="O3" s="16"/>
      <c r="P3" s="4" t="e">
        <f>INDEX(tbCOSG['#],MATCH(tbCoa[[#This Row],[CosGr]],tbCOSG[code],0))</f>
        <v>#N/A</v>
      </c>
      <c r="Q3" s="1"/>
      <c r="S3" s="22" t="str">
        <f>tbCoa[[#This Row],[Number]]&amp;"|"&amp;tbCoa[[#This Row],[Ori Name]]&amp;" ("&amp;tbCoa[[#This Row],[Code]]&amp;")"</f>
        <v>| ()</v>
      </c>
    </row>
    <row r="4" spans="1:19" x14ac:dyDescent="0.2">
      <c r="A4" s="3">
        <f>ROW()-ROW(tbCoa[[#Headers],['#]])</f>
        <v>3</v>
      </c>
      <c r="B4" s="15"/>
      <c r="F4" s="22" t="str">
        <f>LEFT(IF(tbCoa[[#This Row],[Status]]="Active",tbCoa[[#This Row],[Ori Name]],"[#Deactivate]"&amp;tbCoa[[#This Row],[Ori Name]]),35)</f>
        <v>[#Deactivate]</v>
      </c>
      <c r="G4" s="1"/>
      <c r="H4" s="1"/>
      <c r="I4" s="1"/>
      <c r="J4" s="4" t="e">
        <f>VLOOKUP(tbCoa[[#This Row],[Group]],tbGroup[[Group]:[Head]],2,FALSE)</f>
        <v>#N/A</v>
      </c>
      <c r="M4" s="4" t="e">
        <f>VLOOKUP(tbCoa[[#This Row],[Group]],tbGroup[[Group]:[Rep]],3,FALSE)</f>
        <v>#N/A</v>
      </c>
      <c r="N4" s="4"/>
      <c r="O4" s="16"/>
      <c r="P4" s="4" t="e">
        <f>INDEX(tbCOSG['#],MATCH(tbCoa[[#This Row],[CosGr]],tbCOSG[code],0))</f>
        <v>#N/A</v>
      </c>
      <c r="Q4" s="1"/>
      <c r="S4" s="22" t="str">
        <f>tbCoa[[#This Row],[Number]]&amp;"|"&amp;tbCoa[[#This Row],[Ori Name]]&amp;" ("&amp;tbCoa[[#This Row],[Code]]&amp;")"</f>
        <v>| ()</v>
      </c>
    </row>
    <row r="5" spans="1:19" x14ac:dyDescent="0.2">
      <c r="A5" s="3">
        <f>ROW()-ROW(tbCoa[[#Headers],['#]])</f>
        <v>4</v>
      </c>
      <c r="B5" s="15"/>
      <c r="F5" s="22" t="str">
        <f>LEFT(IF(tbCoa[[#This Row],[Status]]="Active",tbCoa[[#This Row],[Ori Name]],"[#Deactivate]"&amp;tbCoa[[#This Row],[Ori Name]]),35)</f>
        <v>[#Deactivate]</v>
      </c>
      <c r="G5" s="1"/>
      <c r="H5" s="1"/>
      <c r="I5" s="1"/>
      <c r="J5" s="4" t="e">
        <f>VLOOKUP(tbCoa[[#This Row],[Group]],tbGroup[[Group]:[Head]],2,FALSE)</f>
        <v>#N/A</v>
      </c>
      <c r="M5" s="4" t="e">
        <f>VLOOKUP(tbCoa[[#This Row],[Group]],tbGroup[[Group]:[Rep]],3,FALSE)</f>
        <v>#N/A</v>
      </c>
      <c r="N5" s="4"/>
      <c r="O5" s="16"/>
      <c r="P5" s="4" t="e">
        <f>INDEX(tbCOSG['#],MATCH(tbCoa[[#This Row],[CosGr]],tbCOSG[code],0))</f>
        <v>#N/A</v>
      </c>
      <c r="Q5" s="1"/>
      <c r="S5" s="22" t="str">
        <f>tbCoa[[#This Row],[Number]]&amp;"|"&amp;tbCoa[[#This Row],[Ori Name]]&amp;" ("&amp;tbCoa[[#This Row],[Code]]&amp;")"</f>
        <v>| ()</v>
      </c>
    </row>
    <row r="6" spans="1:19" x14ac:dyDescent="0.2">
      <c r="A6" s="3">
        <f>ROW()-ROW(tbCoa[[#Headers],['#]])</f>
        <v>5</v>
      </c>
      <c r="B6" s="15"/>
      <c r="F6" s="22" t="str">
        <f>LEFT(IF(tbCoa[[#This Row],[Status]]="Active",tbCoa[[#This Row],[Ori Name]],"[#Deactivate]"&amp;tbCoa[[#This Row],[Ori Name]]),35)</f>
        <v>[#Deactivate]</v>
      </c>
      <c r="G6" s="1"/>
      <c r="H6" s="1"/>
      <c r="I6" s="1"/>
      <c r="J6" s="4" t="e">
        <f>VLOOKUP(tbCoa[[#This Row],[Group]],tbGroup[[Group]:[Head]],2,FALSE)</f>
        <v>#N/A</v>
      </c>
      <c r="M6" s="4" t="e">
        <f>VLOOKUP(tbCoa[[#This Row],[Group]],tbGroup[[Group]:[Rep]],3,FALSE)</f>
        <v>#N/A</v>
      </c>
      <c r="N6" s="4"/>
      <c r="O6" s="16"/>
      <c r="P6" s="4" t="e">
        <f>INDEX(tbCOSG['#],MATCH(tbCoa[[#This Row],[CosGr]],tbCOSG[code],0))</f>
        <v>#N/A</v>
      </c>
      <c r="Q6" s="1"/>
      <c r="S6" s="22" t="str">
        <f>tbCoa[[#This Row],[Number]]&amp;"|"&amp;tbCoa[[#This Row],[Ori Name]]&amp;" ("&amp;tbCoa[[#This Row],[Code]]&amp;")"</f>
        <v>| ()</v>
      </c>
    </row>
    <row r="7" spans="1:19" x14ac:dyDescent="0.2">
      <c r="A7" s="3">
        <f>ROW()-ROW(tbCoa[[#Headers],['#]])</f>
        <v>6</v>
      </c>
      <c r="B7" s="15"/>
      <c r="F7" s="22" t="str">
        <f>LEFT(IF(tbCoa[[#This Row],[Status]]="Active",tbCoa[[#This Row],[Ori Name]],"[#Deactivate]"&amp;tbCoa[[#This Row],[Ori Name]]),35)</f>
        <v>[#Deactivate]</v>
      </c>
      <c r="G7" s="1"/>
      <c r="H7" s="1"/>
      <c r="I7" s="1"/>
      <c r="J7" s="4" t="e">
        <f>VLOOKUP(tbCoa[[#This Row],[Group]],tbGroup[[Group]:[Head]],2,FALSE)</f>
        <v>#N/A</v>
      </c>
      <c r="M7" s="4" t="e">
        <f>VLOOKUP(tbCoa[[#This Row],[Group]],tbGroup[[Group]:[Rep]],3,FALSE)</f>
        <v>#N/A</v>
      </c>
      <c r="N7" s="4"/>
      <c r="O7" s="16"/>
      <c r="P7" s="4" t="e">
        <f>INDEX(tbCOSG['#],MATCH(tbCoa[[#This Row],[CosGr]],tbCOSG[code],0))</f>
        <v>#N/A</v>
      </c>
      <c r="Q7" s="1"/>
      <c r="S7" s="22" t="str">
        <f>tbCoa[[#This Row],[Number]]&amp;"|"&amp;tbCoa[[#This Row],[Ori Name]]&amp;" ("&amp;tbCoa[[#This Row],[Code]]&amp;")"</f>
        <v>| ()</v>
      </c>
    </row>
    <row r="8" spans="1:19" x14ac:dyDescent="0.2">
      <c r="A8" s="3">
        <f>ROW()-ROW(tbCoa[[#Headers],['#]])</f>
        <v>7</v>
      </c>
      <c r="B8" s="15"/>
      <c r="F8" s="22" t="str">
        <f>LEFT(IF(tbCoa[[#This Row],[Status]]="Active",tbCoa[[#This Row],[Ori Name]],"[#Deactivate]"&amp;tbCoa[[#This Row],[Ori Name]]),35)</f>
        <v>[#Deactivate]</v>
      </c>
      <c r="G8" s="1"/>
      <c r="H8" s="1"/>
      <c r="I8" s="1"/>
      <c r="J8" s="4" t="e">
        <f>VLOOKUP(tbCoa[[#This Row],[Group]],tbGroup[[Group]:[Head]],2,FALSE)</f>
        <v>#N/A</v>
      </c>
      <c r="M8" s="4" t="e">
        <f>VLOOKUP(tbCoa[[#This Row],[Group]],tbGroup[[Group]:[Rep]],3,FALSE)</f>
        <v>#N/A</v>
      </c>
      <c r="N8" s="4"/>
      <c r="O8" s="16"/>
      <c r="P8" s="4" t="e">
        <f>INDEX(tbCOSG['#],MATCH(tbCoa[[#This Row],[CosGr]],tbCOSG[code],0))</f>
        <v>#N/A</v>
      </c>
      <c r="Q8" s="1"/>
      <c r="S8" s="22" t="str">
        <f>tbCoa[[#This Row],[Number]]&amp;"|"&amp;tbCoa[[#This Row],[Ori Name]]&amp;" ("&amp;tbCoa[[#This Row],[Code]]&amp;")"</f>
        <v>| ()</v>
      </c>
    </row>
  </sheetData>
  <conditionalFormatting sqref="A2:R8">
    <cfRule type="expression" dxfId="29" priority="3">
      <formula>$H2="Yes"</formula>
    </cfRule>
  </conditionalFormatting>
  <conditionalFormatting sqref="A2:S8">
    <cfRule type="expression" dxfId="28" priority="2">
      <formula>$I2="Deactive"</formula>
    </cfRule>
  </conditionalFormatting>
  <conditionalFormatting sqref="B2:B8">
    <cfRule type="duplicateValues" dxfId="27" priority="311"/>
  </conditionalFormatting>
  <conditionalFormatting sqref="C2:C8">
    <cfRule type="duplicateValues" dxfId="26" priority="312"/>
  </conditionalFormatting>
  <conditionalFormatting sqref="E2:E8">
    <cfRule type="duplicateValues" dxfId="25" priority="313"/>
  </conditionalFormatting>
  <dataValidations count="7">
    <dataValidation type="list" allowBlank="1" showInputMessage="1" showErrorMessage="1" sqref="K2:K8" xr:uid="{509796A6-4539-4426-8530-72CC41806612}">
      <formula1>_group</formula1>
    </dataValidation>
    <dataValidation type="list" allowBlank="1" showInputMessage="1" showErrorMessage="1" sqref="L2:L8" xr:uid="{97E033B1-B32A-40A8-B840-BCA6475BE78D}">
      <formula1>_sgroup</formula1>
    </dataValidation>
    <dataValidation type="list" allowBlank="1" showInputMessage="1" showErrorMessage="1" sqref="O2:O8" xr:uid="{8D9D8A01-408E-4268-B0AC-12DA3108E867}">
      <formula1>_cosGroup</formula1>
    </dataValidation>
    <dataValidation type="list" allowBlank="1" showInputMessage="1" showErrorMessage="1" sqref="H2:H8" xr:uid="{DE750E6F-9BD0-41E1-A910-C36A968BB9CC}">
      <formula1>"yes"</formula1>
    </dataValidation>
    <dataValidation type="list" allowBlank="1" showInputMessage="1" showErrorMessage="1" sqref="Q2:Q8" xr:uid="{EB8AE3E2-8D03-47F8-A16F-813D32E88C35}">
      <formula1>"yes,no"</formula1>
    </dataValidation>
    <dataValidation type="list" allowBlank="1" showInputMessage="1" showErrorMessage="1" sqref="D2:D8" xr:uid="{82102F2D-238C-44B3-B2BF-E82A2C34D590}">
      <formula1>_coatax</formula1>
    </dataValidation>
    <dataValidation type="list" allowBlank="1" showInputMessage="1" showErrorMessage="1" sqref="N2:N8" xr:uid="{DAD2F4DE-4139-443D-90C2-9EF6162CAA48}">
      <formula1>_ccf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4477-7A14-451E-81A6-1D3CA4443FE3}">
  <sheetPr codeName="Sheet1">
    <tabColor theme="2" tint="-0.499984740745262"/>
  </sheetPr>
  <dimension ref="A1:G8"/>
  <sheetViews>
    <sheetView showGridLines="0" zoomScale="145" zoomScaleNormal="145" workbookViewId="0">
      <selection activeCell="B3" sqref="B3"/>
    </sheetView>
  </sheetViews>
  <sheetFormatPr defaultRowHeight="12.75" x14ac:dyDescent="0.2"/>
  <cols>
    <col min="1" max="1" width="4.5703125" customWidth="1"/>
    <col min="2" max="2" width="7.28515625" customWidth="1"/>
    <col min="3" max="3" width="75.140625" customWidth="1"/>
    <col min="4" max="4" width="21.42578125" bestFit="1" customWidth="1"/>
    <col min="5" max="5" width="22" bestFit="1" customWidth="1"/>
    <col min="6" max="6" width="22" customWidth="1"/>
    <col min="7" max="7" width="5.5703125" bestFit="1" customWidth="1"/>
  </cols>
  <sheetData>
    <row r="1" spans="1:7" x14ac:dyDescent="0.2">
      <c r="A1" t="s">
        <v>5</v>
      </c>
      <c r="B1" t="s">
        <v>9</v>
      </c>
      <c r="C1" t="s">
        <v>20</v>
      </c>
      <c r="D1" t="s">
        <v>1</v>
      </c>
      <c r="E1" t="s">
        <v>14</v>
      </c>
      <c r="F1" t="s">
        <v>2</v>
      </c>
      <c r="G1" t="s">
        <v>76</v>
      </c>
    </row>
    <row r="2" spans="1:7" x14ac:dyDescent="0.2">
      <c r="A2" s="5">
        <f t="shared" ref="A2:A3" si="0">ROW()-1</f>
        <v>1</v>
      </c>
    </row>
    <row r="3" spans="1:7" x14ac:dyDescent="0.2">
      <c r="A3" s="5">
        <f t="shared" si="0"/>
        <v>2</v>
      </c>
    </row>
    <row r="4" spans="1:7" x14ac:dyDescent="0.2">
      <c r="A4" s="5">
        <f t="shared" ref="A4:A8" si="1">ROW()-1</f>
        <v>3</v>
      </c>
    </row>
    <row r="5" spans="1:7" x14ac:dyDescent="0.2">
      <c r="A5" s="5">
        <f t="shared" si="1"/>
        <v>4</v>
      </c>
    </row>
    <row r="6" spans="1:7" x14ac:dyDescent="0.2">
      <c r="A6" s="5">
        <f t="shared" si="1"/>
        <v>5</v>
      </c>
    </row>
    <row r="7" spans="1:7" x14ac:dyDescent="0.2">
      <c r="A7" s="5">
        <f t="shared" si="1"/>
        <v>6</v>
      </c>
    </row>
    <row r="8" spans="1:7" x14ac:dyDescent="0.2">
      <c r="A8" s="5">
        <f t="shared" si="1"/>
        <v>7</v>
      </c>
    </row>
  </sheetData>
  <pageMargins left="0.7" right="0.7" top="0.75" bottom="0.75" header="0.3" footer="0.3"/>
  <pageSetup paperSize="8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9FEB4-A1C5-4639-B2CF-A8317D96E318}">
  <sheetPr codeName="shCos">
    <tabColor theme="2" tint="-0.499984740745262"/>
  </sheetPr>
  <dimension ref="A1:G8"/>
  <sheetViews>
    <sheetView showGridLines="0" zoomScale="145" zoomScaleNormal="145" workbookViewId="0">
      <selection activeCell="D5" sqref="D5"/>
    </sheetView>
  </sheetViews>
  <sheetFormatPr defaultRowHeight="12.75" x14ac:dyDescent="0.2"/>
  <cols>
    <col min="1" max="1" width="6.140625" customWidth="1"/>
    <col min="3" max="3" width="14.85546875" customWidth="1"/>
    <col min="4" max="4" width="93.28515625" customWidth="1"/>
    <col min="5" max="6" width="8.140625" bestFit="1" customWidth="1"/>
    <col min="7" max="7" width="17" customWidth="1"/>
  </cols>
  <sheetData>
    <row r="1" spans="1:7" x14ac:dyDescent="0.2">
      <c r="A1" t="s">
        <v>5</v>
      </c>
      <c r="B1" t="s">
        <v>25</v>
      </c>
      <c r="C1" t="s">
        <v>9</v>
      </c>
      <c r="D1" t="s">
        <v>20</v>
      </c>
      <c r="E1" t="s">
        <v>1</v>
      </c>
      <c r="F1" t="s">
        <v>22</v>
      </c>
      <c r="G1" t="s">
        <v>7</v>
      </c>
    </row>
    <row r="2" spans="1:7" x14ac:dyDescent="0.2">
      <c r="A2" s="17">
        <f>ROW()-ROW(tbCOS[[#Headers],['#]])</f>
        <v>1</v>
      </c>
      <c r="B2" s="17">
        <f>INDEX(tbCOSG['#],MATCH(tbCOS[[#This Row],[Group]],tbCOSG[code],0))</f>
        <v>0</v>
      </c>
      <c r="C2" s="5" t="s">
        <v>53</v>
      </c>
      <c r="D2" s="17" t="str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#Void</v>
      </c>
      <c r="E2" s="5" t="s">
        <v>53</v>
      </c>
      <c r="F2" s="5" t="s">
        <v>24</v>
      </c>
      <c r="G2" s="5" t="str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#Void</v>
      </c>
    </row>
    <row r="3" spans="1:7" x14ac:dyDescent="0.2">
      <c r="A3" s="17">
        <f>ROW()-ROW(tbCOS[[#Headers],['#]])</f>
        <v>2</v>
      </c>
      <c r="B3" s="17">
        <f>INDEX(tbCOSG['#],MATCH(tbCOS[[#This Row],[Group]],tbCOSG[code],0))</f>
        <v>1</v>
      </c>
      <c r="C3" s="5"/>
      <c r="D3" s="17" t="e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#N/A</v>
      </c>
      <c r="E3" s="5" t="s">
        <v>45</v>
      </c>
      <c r="F3" s="5" t="s">
        <v>24</v>
      </c>
      <c r="G3" s="5" t="e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#N/A</v>
      </c>
    </row>
    <row r="4" spans="1:7" x14ac:dyDescent="0.2">
      <c r="A4" s="17">
        <f>ROW()-ROW(tbCOS[[#Headers],['#]])</f>
        <v>3</v>
      </c>
      <c r="B4" s="17">
        <f>INDEX(tbCOSG['#],MATCH(tbCOS[[#This Row],[Group]],tbCOSG[code],0))</f>
        <v>1</v>
      </c>
      <c r="C4" s="5"/>
      <c r="D4" s="17" t="e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#N/A</v>
      </c>
      <c r="E4" s="5" t="s">
        <v>45</v>
      </c>
      <c r="F4" s="5" t="s">
        <v>24</v>
      </c>
      <c r="G4" s="5" t="e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#N/A</v>
      </c>
    </row>
    <row r="5" spans="1:7" x14ac:dyDescent="0.2">
      <c r="A5" s="17">
        <f>ROW()-ROW(tbCOS[[#Headers],['#]])</f>
        <v>4</v>
      </c>
      <c r="B5" s="17">
        <f>INDEX(tbCOSG['#],MATCH(tbCOS[[#This Row],[Group]],tbCOSG[code],0))</f>
        <v>1</v>
      </c>
      <c r="C5" s="5"/>
      <c r="D5" s="17" t="e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#N/A</v>
      </c>
      <c r="E5" s="5" t="s">
        <v>45</v>
      </c>
      <c r="F5" s="5" t="s">
        <v>24</v>
      </c>
      <c r="G5" s="5" t="e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#N/A</v>
      </c>
    </row>
    <row r="6" spans="1:7" x14ac:dyDescent="0.2">
      <c r="A6" s="17">
        <f>ROW()-ROW(tbCOS[[#Headers],['#]])</f>
        <v>5</v>
      </c>
      <c r="B6" s="17">
        <f>INDEX(tbCOSG['#],MATCH(tbCOS[[#This Row],[Group]],tbCOSG[code],0))</f>
        <v>2</v>
      </c>
      <c r="C6" s="5"/>
      <c r="D6" s="17" t="e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#N/A</v>
      </c>
      <c r="E6" s="5" t="s">
        <v>46</v>
      </c>
      <c r="F6" s="5" t="s">
        <v>24</v>
      </c>
      <c r="G6" s="5" t="e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#N/A</v>
      </c>
    </row>
    <row r="7" spans="1:7" x14ac:dyDescent="0.2">
      <c r="A7" s="17">
        <f>ROW()-ROW(tbCOS[[#Headers],['#]])</f>
        <v>6</v>
      </c>
      <c r="B7" s="17">
        <f>INDEX(tbCOSG['#],MATCH(tbCOS[[#This Row],[Group]],tbCOSG[code],0))</f>
        <v>2</v>
      </c>
      <c r="C7" s="5"/>
      <c r="D7" s="17" t="e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#N/A</v>
      </c>
      <c r="E7" s="5" t="s">
        <v>46</v>
      </c>
      <c r="F7" s="5" t="s">
        <v>24</v>
      </c>
      <c r="G7" s="5" t="e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#N/A</v>
      </c>
    </row>
    <row r="8" spans="1:7" x14ac:dyDescent="0.2">
      <c r="A8" s="17">
        <f>ROW()-ROW(tbCOS[[#Headers],['#]])</f>
        <v>7</v>
      </c>
      <c r="B8" s="17">
        <f>INDEX(tbCOSG['#],MATCH(tbCOS[[#This Row],[Group]],tbCOSG[code],0))</f>
        <v>2</v>
      </c>
      <c r="C8" s="5"/>
      <c r="D8" s="17" t="e">
        <f>IF(tbCOS[[#This Row],[Code]]&lt;&gt;"#vd",CHOOSE(tbCOS[[#This Row],[Number]],INDEX(tbCc[Cost Center],MATCH(tbCOS[[#This Row],[Code]],tbCc[Code],0)),INDEX(tbPart[Name],MATCH(tbCOS[[#This Row],[Code]],tbPart[Code],0)),INDEX(tbCcf[Description],MATCH(tbCOS[[#This Row],[Code]],tbCcf[Code],0))),"#Void")</f>
        <v>#N/A</v>
      </c>
      <c r="E8" s="5" t="s">
        <v>46</v>
      </c>
      <c r="F8" s="5" t="s">
        <v>24</v>
      </c>
      <c r="G8" s="5" t="e">
        <f>IF(tbCOS[[#This Row],[Group]]="cc",INDEX(tbCc[Segment],MATCH(tbCOS[[#This Row],[Code]],tbCc[Code],0)),IF(tbCOS[[#This Row],[Group]]="cf",INDEX(tbCcf[Head],MATCH(tbCOS[[#This Row],[Code]],tbCcf[Code],0)),IF(tbCOS[[#This Row],[Group]]="sub",INDEX(tbPart[Type],MATCH(tbCOS[[#This Row],[Code]],tbPart[Code],0)),"#Void")))</f>
        <v>#N/A</v>
      </c>
    </row>
  </sheetData>
  <conditionalFormatting sqref="A2:F8">
    <cfRule type="expression" dxfId="9" priority="1">
      <formula>$F2="Deactive"</formula>
    </cfRule>
  </conditionalFormatting>
  <conditionalFormatting sqref="C2:C8">
    <cfRule type="duplicateValues" dxfId="8" priority="324"/>
  </conditionalFormatting>
  <dataValidations count="2">
    <dataValidation type="list" allowBlank="1" showInputMessage="1" showErrorMessage="1" sqref="E2:E8" xr:uid="{541686F5-6AD8-45B3-A8A2-1286A2830059}">
      <formula1>_cosGroup</formula1>
    </dataValidation>
    <dataValidation type="list" allowBlank="1" showInputMessage="1" showErrorMessage="1" sqref="F2:F8" xr:uid="{320E2EE8-14F2-4F44-A012-5A2BF72AA07A}">
      <formula1>"Active,Deactive"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16</vt:i4>
      </vt:variant>
    </vt:vector>
  </HeadingPairs>
  <TitlesOfParts>
    <vt:vector size="29" baseType="lpstr">
      <vt:lpstr>_helper</vt:lpstr>
      <vt:lpstr>set</vt:lpstr>
      <vt:lpstr>head</vt:lpstr>
      <vt:lpstr>group</vt:lpstr>
      <vt:lpstr>sgroup</vt:lpstr>
      <vt:lpstr>seq</vt:lpstr>
      <vt:lpstr>cc</vt:lpstr>
      <vt:lpstr>sub</vt:lpstr>
      <vt:lpstr>ccf</vt:lpstr>
      <vt:lpstr>jb</vt:lpstr>
      <vt:lpstr>coa</vt:lpstr>
      <vt:lpstr>tax</vt:lpstr>
      <vt:lpstr>cos</vt:lpstr>
      <vt:lpstr>_ccf</vt:lpstr>
      <vt:lpstr>_coa</vt:lpstr>
      <vt:lpstr>_coatax</vt:lpstr>
      <vt:lpstr>_cosGroup</vt:lpstr>
      <vt:lpstr>_group</vt:lpstr>
      <vt:lpstr>_head</vt:lpstr>
      <vt:lpstr>_jb</vt:lpstr>
      <vt:lpstr>_seq</vt:lpstr>
      <vt:lpstr>_sgroup</vt:lpstr>
      <vt:lpstr>cfgCFcos</vt:lpstr>
      <vt:lpstr>cfgCompAddress</vt:lpstr>
      <vt:lpstr>cfgCompName</vt:lpstr>
      <vt:lpstr>cfgEndDate</vt:lpstr>
      <vt:lpstr>cfgEquity</vt:lpstr>
      <vt:lpstr>cfgOpBal</vt:lpstr>
      <vt:lpstr>cfgStartDate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OcingAccounting</dc:title>
  <dc:creator>Cheries</dc:creator>
  <cp:lastModifiedBy>Cheries M</cp:lastModifiedBy>
  <dcterms:created xsi:type="dcterms:W3CDTF">2025-05-22T05:07:24Z</dcterms:created>
  <dcterms:modified xsi:type="dcterms:W3CDTF">2025-11-10T18:29:31Z</dcterms:modified>
</cp:coreProperties>
</file>