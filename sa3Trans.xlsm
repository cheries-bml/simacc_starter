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slicers/slicer1.xml" ContentType="application/vnd.ms-excel.slicer+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slicers/slicer2.xml" ContentType="application/vnd.ms-excel.slicer+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SimAcc3Trans" defaultThemeVersion="166925"/>
  <mc:AlternateContent xmlns:mc="http://schemas.openxmlformats.org/markup-compatibility/2006">
    <mc:Choice Requires="x15">
      <x15ac:absPath xmlns:x15ac="http://schemas.microsoft.com/office/spreadsheetml/2010/11/ac" url="C:\Users\cheri\Documents\GDrive\ocac\demo\"/>
    </mc:Choice>
  </mc:AlternateContent>
  <xr:revisionPtr revIDLastSave="0" documentId="13_ncr:1_{B2C14FC4-2CAF-4916-A20D-36160755691C}" xr6:coauthVersionLast="47" xr6:coauthVersionMax="47" xr10:uidLastSave="{00000000-0000-0000-0000-000000000000}"/>
  <workbookProtection workbookAlgorithmName="SHA-512" workbookHashValue="xicBb8DmbFkFYOXLDYW1OG+nJzWVdpveygl/7zFaOBxV9BwqnPuLnL/eR9JFLlc9Gv7ps+TOh1LAVbEUMsTTOQ==" workbookSaltValue="6wVlOErDF0Orhel8s/xmpg==" workbookSpinCount="100000" lockStructure="1"/>
  <bookViews>
    <workbookView xWindow="-120" yWindow="-120" windowWidth="38640" windowHeight="21120" xr2:uid="{69289B9C-27BD-418E-9A72-AE36FA43DF3D}"/>
  </bookViews>
  <sheets>
    <sheet name="cfg" sheetId="16" r:id="rId1"/>
    <sheet name="bch" sheetId="17" r:id="rId2"/>
    <sheet name="coa" sheetId="15" r:id="rId3"/>
    <sheet name="gj" sheetId="12" r:id="rId4"/>
    <sheet name="cos" sheetId="23" r:id="rId5"/>
    <sheet name="led" sheetId="24" state="veryHidden" r:id="rId6"/>
    <sheet name="tb" sheetId="25" state="veryHidden" r:id="rId7"/>
    <sheet name="audit" sheetId="26" state="veryHidden" r:id="rId8"/>
    <sheet name="notes" sheetId="21" r:id="rId9"/>
    <sheet name="var" sheetId="27" state="veryHidden" r:id="rId10"/>
    <sheet name="_h" sheetId="22" state="veryHidden" r:id="rId11"/>
    <sheet name="_sys" sheetId="14" state="veryHidden" r:id="rId12"/>
  </sheets>
  <functionGroups builtInGroupCount="19"/>
  <definedNames>
    <definedName name="_allDynCode">_xlfn.ANCHORARRAY(_h!$E$4)</definedName>
    <definedName name="_batch">tbBatch[Code]</definedName>
    <definedName name="_coa">tbCoa[Code]</definedName>
    <definedName name="_coaDynCode">_xlfn.ANCHORARRAY(_h!$B$4)</definedName>
    <definedName name="_cos">tbCos[Code]</definedName>
    <definedName name="_cosDynCode">_xlfn.ANCHORARRAY(_h!$C$4)</definedName>
    <definedName name="_currentPath">_sys!$B$1</definedName>
    <definedName name="_xlnm._FilterDatabase" localSheetId="5" hidden="1">led!$B$8:$H$36</definedName>
    <definedName name="_tbEndDate">tb!$M$3</definedName>
    <definedName name="_tbStartDate">tb!$M$2</definedName>
    <definedName name="_xlpm.tbal" hidden="1" xlm="1">#NAME?</definedName>
    <definedName name="_xlpm.tcols" hidden="1" xlm="1">#NAME?</definedName>
    <definedName name="begBal">led!$H$2</definedName>
    <definedName name="cfgActive">cfg!$C$26</definedName>
    <definedName name="cfgAppId">cfg!$C$22</definedName>
    <definedName name="cfgGJColWidth">cfg!$C$15</definedName>
    <definedName name="cfgMaster">cfg!$C$18</definedName>
    <definedName name="cfgMessage">cfg!$C$24</definedName>
    <definedName name="cfgServer">cfg!$C$23</definedName>
    <definedName name="cfgStatus">cfg!$C$25</definedName>
    <definedName name="ExternalData_1" localSheetId="11" hidden="1">_sys!$A$4:$A$5</definedName>
    <definedName name="ExternalData_1" localSheetId="1" hidden="1">bch!$B$5:$I$8</definedName>
    <definedName name="ExternalData_1" localSheetId="2" hidden="1">coa!$B$5:$S$12</definedName>
    <definedName name="ExternalData_2" localSheetId="11" hidden="1">_sys!$B$4:$B$5</definedName>
    <definedName name="ExternalData_3" localSheetId="11" hidden="1">_sys!$C$4:$C$5</definedName>
    <definedName name="ExternalData_3" localSheetId="4" hidden="1">cos!$B$5:$H$12</definedName>
    <definedName name="ExternalData_4" localSheetId="11" hidden="1">_sys!$D$4:$D$5</definedName>
    <definedName name="ExternalData_5" localSheetId="11" hidden="1">_sys!$E$4:$E$5</definedName>
    <definedName name="ledCode">led!$C$6</definedName>
    <definedName name="ledEndDate">led!$C$5</definedName>
    <definedName name="ledMode">led!$C$3</definedName>
    <definedName name="ledStartDate">led!$C$4</definedName>
    <definedName name="_xlnm.Print_Titles" localSheetId="5">led!$8:$8</definedName>
    <definedName name="Slicer_Group">#N/A</definedName>
    <definedName name="Slicer_Head">#N/A</definedName>
    <definedName name="varLicenseStatus">var!$A$1</definedName>
  </definedNames>
  <calcPr calcId="191029" calcMode="manual"/>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6" i="12" l="1"/>
  <c r="M6" i="12"/>
  <c r="N6" i="12"/>
  <c r="O6" i="12"/>
  <c r="K7" i="12"/>
  <c r="M7" i="12"/>
  <c r="N7" i="12"/>
  <c r="O7" i="12"/>
  <c r="K8" i="12"/>
  <c r="M8" i="12"/>
  <c r="N8" i="12"/>
  <c r="O8" i="12"/>
  <c r="K9" i="12"/>
  <c r="M9" i="12"/>
  <c r="N9" i="12" s="1"/>
  <c r="O9" i="12" s="1"/>
  <c r="K10" i="12"/>
  <c r="M10" i="12"/>
  <c r="N10" i="12"/>
  <c r="O10" i="12" s="1"/>
  <c r="K11" i="12"/>
  <c r="M11" i="12"/>
  <c r="N11" i="12"/>
  <c r="O11" i="12"/>
  <c r="C4" i="22" a="1"/>
  <c r="C4" i="22" s="1"/>
  <c r="B2" i="24"/>
  <c r="B53" i="25" l="1"/>
  <c r="C53" i="25"/>
  <c r="D53" i="25"/>
  <c r="J53" i="25" s="1"/>
  <c r="E53" i="25"/>
  <c r="F53" i="25"/>
  <c r="G53" i="25"/>
  <c r="H53" i="25"/>
  <c r="I53" i="25"/>
  <c r="L53" i="25"/>
  <c r="B52" i="25"/>
  <c r="C52" i="25"/>
  <c r="D52" i="25"/>
  <c r="J52" i="25" s="1"/>
  <c r="E52" i="25"/>
  <c r="F52" i="25"/>
  <c r="G52" i="25"/>
  <c r="H52" i="25"/>
  <c r="I52" i="25"/>
  <c r="B51" i="25"/>
  <c r="C51" i="25"/>
  <c r="D51" i="25"/>
  <c r="L51" i="25" s="1"/>
  <c r="E51" i="25"/>
  <c r="F51" i="25"/>
  <c r="G51" i="25"/>
  <c r="H51" i="25"/>
  <c r="I51" i="25"/>
  <c r="J51" i="25"/>
  <c r="B50" i="25"/>
  <c r="C50" i="25"/>
  <c r="D50" i="25"/>
  <c r="E50" i="25"/>
  <c r="F50" i="25"/>
  <c r="G50" i="25"/>
  <c r="H50" i="25"/>
  <c r="I50" i="25"/>
  <c r="J50" i="25"/>
  <c r="K50" i="25"/>
  <c r="L50" i="25"/>
  <c r="B49" i="25"/>
  <c r="C49" i="25"/>
  <c r="D49" i="25"/>
  <c r="J49" i="25" s="1"/>
  <c r="E49" i="25"/>
  <c r="F49" i="25"/>
  <c r="G49" i="25"/>
  <c r="H49" i="25"/>
  <c r="I49" i="25"/>
  <c r="B48" i="25"/>
  <c r="C48" i="25"/>
  <c r="D48" i="25"/>
  <c r="L48" i="25" s="1"/>
  <c r="E48" i="25"/>
  <c r="F48" i="25"/>
  <c r="G48" i="25"/>
  <c r="H48" i="25"/>
  <c r="I48" i="25"/>
  <c r="B47" i="25"/>
  <c r="C47" i="25"/>
  <c r="D47" i="25"/>
  <c r="J47" i="25" s="1"/>
  <c r="E47" i="25"/>
  <c r="F47" i="25"/>
  <c r="G47" i="25"/>
  <c r="H47" i="25"/>
  <c r="I47" i="25"/>
  <c r="B46" i="25"/>
  <c r="C46" i="25"/>
  <c r="D46" i="25"/>
  <c r="K46" i="25" s="1"/>
  <c r="E46" i="25"/>
  <c r="F46" i="25"/>
  <c r="G46" i="25"/>
  <c r="H46" i="25"/>
  <c r="I46" i="25"/>
  <c r="B45" i="25"/>
  <c r="C45" i="25"/>
  <c r="D45" i="25"/>
  <c r="J45" i="25" s="1"/>
  <c r="E45" i="25"/>
  <c r="F45" i="25"/>
  <c r="G45" i="25"/>
  <c r="H45" i="25"/>
  <c r="I45" i="25"/>
  <c r="B44" i="25"/>
  <c r="C44" i="25"/>
  <c r="D44" i="25"/>
  <c r="L44" i="25" s="1"/>
  <c r="E44" i="25"/>
  <c r="F44" i="25"/>
  <c r="G44" i="25"/>
  <c r="H44" i="25"/>
  <c r="I44" i="25"/>
  <c r="B43" i="25"/>
  <c r="C43" i="25"/>
  <c r="D43" i="25"/>
  <c r="J43" i="25" s="1"/>
  <c r="E43" i="25"/>
  <c r="F43" i="25"/>
  <c r="G43" i="25"/>
  <c r="H43" i="25"/>
  <c r="I43" i="25"/>
  <c r="B42" i="25"/>
  <c r="C42" i="25"/>
  <c r="D42" i="25"/>
  <c r="L42" i="25" s="1"/>
  <c r="E42" i="25"/>
  <c r="F42" i="25"/>
  <c r="G42" i="25"/>
  <c r="H42" i="25"/>
  <c r="I42" i="25"/>
  <c r="B41" i="25"/>
  <c r="C41" i="25"/>
  <c r="D41" i="25"/>
  <c r="L41" i="25" s="1"/>
  <c r="E41" i="25"/>
  <c r="F41" i="25"/>
  <c r="G41" i="25"/>
  <c r="H41" i="25"/>
  <c r="I41" i="25"/>
  <c r="B40" i="25"/>
  <c r="C40" i="25"/>
  <c r="D40" i="25"/>
  <c r="J40" i="25" s="1"/>
  <c r="E40" i="25"/>
  <c r="F40" i="25"/>
  <c r="G40" i="25"/>
  <c r="H40" i="25"/>
  <c r="I40" i="25"/>
  <c r="B39" i="25"/>
  <c r="C39" i="25"/>
  <c r="D39" i="25"/>
  <c r="J39" i="25" s="1"/>
  <c r="E39" i="25"/>
  <c r="F39" i="25"/>
  <c r="G39" i="25"/>
  <c r="H39" i="25"/>
  <c r="I39" i="25"/>
  <c r="B38" i="25"/>
  <c r="C38" i="25"/>
  <c r="D38" i="25"/>
  <c r="L38" i="25" s="1"/>
  <c r="E38" i="25"/>
  <c r="F38" i="25"/>
  <c r="G38" i="25"/>
  <c r="H38" i="25"/>
  <c r="I38" i="25"/>
  <c r="B37" i="25"/>
  <c r="C37" i="25"/>
  <c r="D37" i="25"/>
  <c r="E37" i="25"/>
  <c r="F37" i="25"/>
  <c r="G37" i="25"/>
  <c r="H37" i="25"/>
  <c r="I37" i="25"/>
  <c r="J37" i="25"/>
  <c r="K37" i="25"/>
  <c r="M37" i="25" s="1"/>
  <c r="L37" i="25"/>
  <c r="B36" i="25"/>
  <c r="C36" i="25"/>
  <c r="D36" i="25"/>
  <c r="J36" i="25" s="1"/>
  <c r="E36" i="25"/>
  <c r="F36" i="25"/>
  <c r="G36" i="25"/>
  <c r="H36" i="25"/>
  <c r="I36" i="25"/>
  <c r="L36" i="25"/>
  <c r="B35" i="25"/>
  <c r="C35" i="25"/>
  <c r="D35" i="25"/>
  <c r="J35" i="25" s="1"/>
  <c r="E35" i="25"/>
  <c r="F35" i="25"/>
  <c r="G35" i="25"/>
  <c r="H35" i="25"/>
  <c r="I35" i="25"/>
  <c r="B34" i="25"/>
  <c r="C34" i="25"/>
  <c r="D34" i="25"/>
  <c r="J34" i="25" s="1"/>
  <c r="E34" i="25"/>
  <c r="F34" i="25"/>
  <c r="G34" i="25"/>
  <c r="H34" i="25"/>
  <c r="I34" i="25"/>
  <c r="L34" i="25"/>
  <c r="B33" i="25"/>
  <c r="C33" i="25"/>
  <c r="D33" i="25"/>
  <c r="K33" i="25" s="1"/>
  <c r="E33" i="25"/>
  <c r="F33" i="25"/>
  <c r="G33" i="25"/>
  <c r="H33" i="25"/>
  <c r="I33" i="25"/>
  <c r="B32" i="25"/>
  <c r="C32" i="25"/>
  <c r="D32" i="25"/>
  <c r="L32" i="25" s="1"/>
  <c r="E32" i="25"/>
  <c r="F32" i="25"/>
  <c r="G32" i="25"/>
  <c r="H32" i="25"/>
  <c r="I32" i="25"/>
  <c r="B31" i="25"/>
  <c r="C31" i="25"/>
  <c r="D31" i="25"/>
  <c r="L31" i="25" s="1"/>
  <c r="E31" i="25"/>
  <c r="F31" i="25"/>
  <c r="G31" i="25"/>
  <c r="H31" i="25"/>
  <c r="I31" i="25"/>
  <c r="B30" i="25"/>
  <c r="C30" i="25"/>
  <c r="D30" i="25"/>
  <c r="K30" i="25" s="1"/>
  <c r="M30" i="25" s="1"/>
  <c r="E30" i="25"/>
  <c r="F30" i="25"/>
  <c r="G30" i="25"/>
  <c r="H30" i="25"/>
  <c r="I30" i="25"/>
  <c r="J30" i="25"/>
  <c r="L30" i="25"/>
  <c r="B29" i="25"/>
  <c r="C29" i="25"/>
  <c r="D29" i="25"/>
  <c r="J29" i="25" s="1"/>
  <c r="E29" i="25"/>
  <c r="F29" i="25"/>
  <c r="G29" i="25"/>
  <c r="H29" i="25"/>
  <c r="I29" i="25"/>
  <c r="B28" i="25"/>
  <c r="C28" i="25"/>
  <c r="D28" i="25"/>
  <c r="L28" i="25" s="1"/>
  <c r="E28" i="25"/>
  <c r="F28" i="25"/>
  <c r="G28" i="25"/>
  <c r="H28" i="25"/>
  <c r="I28" i="25"/>
  <c r="B27" i="25"/>
  <c r="C27" i="25"/>
  <c r="D27" i="25"/>
  <c r="L27" i="25" s="1"/>
  <c r="E27" i="25"/>
  <c r="F27" i="25"/>
  <c r="G27" i="25"/>
  <c r="H27" i="25"/>
  <c r="I27" i="25"/>
  <c r="B26" i="25"/>
  <c r="C26" i="25"/>
  <c r="D26" i="25"/>
  <c r="L26" i="25" s="1"/>
  <c r="E26" i="25"/>
  <c r="F26" i="25"/>
  <c r="G26" i="25"/>
  <c r="H26" i="25"/>
  <c r="I26" i="25"/>
  <c r="B25" i="25"/>
  <c r="C25" i="25"/>
  <c r="D25" i="25"/>
  <c r="J25" i="25" s="1"/>
  <c r="E25" i="25"/>
  <c r="F25" i="25"/>
  <c r="G25" i="25"/>
  <c r="H25" i="25"/>
  <c r="I25" i="25"/>
  <c r="B24" i="25"/>
  <c r="C24" i="25"/>
  <c r="D24" i="25"/>
  <c r="J24" i="25" s="1"/>
  <c r="E24" i="25"/>
  <c r="F24" i="25"/>
  <c r="G24" i="25"/>
  <c r="H24" i="25"/>
  <c r="I24" i="25"/>
  <c r="B23" i="25"/>
  <c r="C23" i="25"/>
  <c r="D23" i="25"/>
  <c r="E23" i="25"/>
  <c r="F23" i="25"/>
  <c r="G23" i="25"/>
  <c r="H23" i="25"/>
  <c r="I23" i="25"/>
  <c r="J23" i="25"/>
  <c r="K23" i="25"/>
  <c r="L23" i="25"/>
  <c r="B22" i="25"/>
  <c r="C22" i="25"/>
  <c r="D22" i="25"/>
  <c r="J22" i="25" s="1"/>
  <c r="E22" i="25"/>
  <c r="F22" i="25"/>
  <c r="G22" i="25"/>
  <c r="H22" i="25"/>
  <c r="I22" i="25"/>
  <c r="B21" i="25"/>
  <c r="C21" i="25"/>
  <c r="D21" i="25"/>
  <c r="L21" i="25" s="1"/>
  <c r="E21" i="25"/>
  <c r="F21" i="25"/>
  <c r="G21" i="25"/>
  <c r="H21" i="25"/>
  <c r="I21" i="25"/>
  <c r="J21" i="25"/>
  <c r="K21" i="25"/>
  <c r="M21" i="25" s="1"/>
  <c r="B20" i="25"/>
  <c r="C20" i="25"/>
  <c r="D20" i="25"/>
  <c r="L20" i="25" s="1"/>
  <c r="E20" i="25"/>
  <c r="F20" i="25"/>
  <c r="G20" i="25"/>
  <c r="H20" i="25"/>
  <c r="I20" i="25"/>
  <c r="B19" i="25"/>
  <c r="C19" i="25"/>
  <c r="D19" i="25"/>
  <c r="K19" i="25" s="1"/>
  <c r="E19" i="25"/>
  <c r="F19" i="25"/>
  <c r="G19" i="25"/>
  <c r="H19" i="25"/>
  <c r="I19" i="25"/>
  <c r="L19" i="25"/>
  <c r="B18" i="25"/>
  <c r="C18" i="25"/>
  <c r="D18" i="25"/>
  <c r="L18" i="25" s="1"/>
  <c r="E18" i="25"/>
  <c r="F18" i="25"/>
  <c r="G18" i="25"/>
  <c r="H18" i="25"/>
  <c r="I18" i="25"/>
  <c r="B17" i="25"/>
  <c r="C17" i="25"/>
  <c r="D17" i="25"/>
  <c r="J17" i="25" s="1"/>
  <c r="N17" i="25" s="1"/>
  <c r="P17" i="25" s="1"/>
  <c r="E17" i="25"/>
  <c r="F17" i="25"/>
  <c r="G17" i="25"/>
  <c r="H17" i="25"/>
  <c r="I17" i="25"/>
  <c r="K17" i="25"/>
  <c r="L17" i="25"/>
  <c r="M17" i="25"/>
  <c r="B16" i="25"/>
  <c r="C16" i="25"/>
  <c r="D16" i="25"/>
  <c r="J16" i="25" s="1"/>
  <c r="E16" i="25"/>
  <c r="F16" i="25"/>
  <c r="G16" i="25"/>
  <c r="H16" i="25"/>
  <c r="I16" i="25"/>
  <c r="B15" i="25"/>
  <c r="C15" i="25"/>
  <c r="D15" i="25"/>
  <c r="J15" i="25" s="1"/>
  <c r="E15" i="25"/>
  <c r="F15" i="25"/>
  <c r="G15" i="25"/>
  <c r="H15" i="25"/>
  <c r="I15" i="25"/>
  <c r="B14" i="25"/>
  <c r="C14" i="25"/>
  <c r="D14" i="25"/>
  <c r="K14" i="25" s="1"/>
  <c r="E14" i="25"/>
  <c r="F14" i="25"/>
  <c r="G14" i="25"/>
  <c r="H14" i="25"/>
  <c r="I14" i="25"/>
  <c r="B13" i="25"/>
  <c r="C13" i="25"/>
  <c r="D13" i="25"/>
  <c r="J13" i="25" s="1"/>
  <c r="E13" i="25"/>
  <c r="F13" i="25"/>
  <c r="G13" i="25"/>
  <c r="H13" i="25"/>
  <c r="I13" i="25"/>
  <c r="L13" i="25"/>
  <c r="B12" i="25"/>
  <c r="C12" i="25"/>
  <c r="D12" i="25"/>
  <c r="L12" i="25" s="1"/>
  <c r="E12" i="25"/>
  <c r="F12" i="25"/>
  <c r="G12" i="25"/>
  <c r="H12" i="25"/>
  <c r="I12" i="25"/>
  <c r="B11" i="25"/>
  <c r="C11" i="25"/>
  <c r="D11" i="25"/>
  <c r="L11" i="25" s="1"/>
  <c r="E11" i="25"/>
  <c r="F11" i="25"/>
  <c r="G11" i="25"/>
  <c r="H11" i="25"/>
  <c r="I11" i="25"/>
  <c r="B10" i="25"/>
  <c r="C10" i="25"/>
  <c r="D10" i="25"/>
  <c r="K10" i="25" s="1"/>
  <c r="E10" i="25"/>
  <c r="F10" i="25"/>
  <c r="G10" i="25"/>
  <c r="H10" i="25"/>
  <c r="I10" i="25"/>
  <c r="B9" i="25"/>
  <c r="C9" i="25"/>
  <c r="D9" i="25"/>
  <c r="J9" i="25" s="1"/>
  <c r="E9" i="25"/>
  <c r="F9" i="25"/>
  <c r="G9" i="25"/>
  <c r="H9" i="25"/>
  <c r="I9" i="25"/>
  <c r="L9" i="25"/>
  <c r="B8" i="25"/>
  <c r="C8" i="25"/>
  <c r="D8" i="25"/>
  <c r="L8" i="25" s="1"/>
  <c r="E8" i="25"/>
  <c r="F8" i="25"/>
  <c r="G8" i="25"/>
  <c r="H8" i="25"/>
  <c r="I8" i="25"/>
  <c r="B7" i="25"/>
  <c r="C7" i="25"/>
  <c r="D7" i="25"/>
  <c r="J7" i="25" s="1"/>
  <c r="E7" i="25"/>
  <c r="F7" i="25"/>
  <c r="G7" i="25"/>
  <c r="H7" i="25"/>
  <c r="I7" i="25"/>
  <c r="B6" i="25"/>
  <c r="C6" i="25"/>
  <c r="D6" i="25"/>
  <c r="E6" i="25"/>
  <c r="F6" i="25"/>
  <c r="G6" i="25"/>
  <c r="H6" i="25"/>
  <c r="I6" i="25"/>
  <c r="J6" i="25"/>
  <c r="N6" i="25" s="1"/>
  <c r="P6" i="25" s="1"/>
  <c r="K6" i="25"/>
  <c r="L6" i="25"/>
  <c r="M6" i="25"/>
  <c r="J2" i="12"/>
  <c r="N30" i="25" l="1"/>
  <c r="P30" i="25" s="1"/>
  <c r="N37" i="25"/>
  <c r="P37" i="25" s="1"/>
  <c r="K13" i="25"/>
  <c r="M13" i="25" s="1"/>
  <c r="N13" i="25" s="1"/>
  <c r="P13" i="25" s="1"/>
  <c r="K36" i="25"/>
  <c r="M36" i="25" s="1"/>
  <c r="N36" i="25" s="1"/>
  <c r="P36" i="25" s="1"/>
  <c r="J11" i="25"/>
  <c r="K53" i="25"/>
  <c r="K34" i="25"/>
  <c r="M34" i="25" s="1"/>
  <c r="K11" i="25"/>
  <c r="M11" i="25" s="1"/>
  <c r="L49" i="25"/>
  <c r="K51" i="25"/>
  <c r="M51" i="25" s="1"/>
  <c r="N51" i="25" s="1"/>
  <c r="P51" i="25" s="1"/>
  <c r="L47" i="25"/>
  <c r="K20" i="25"/>
  <c r="M20" i="25" s="1"/>
  <c r="K26" i="25"/>
  <c r="M26" i="25" s="1"/>
  <c r="K47" i="25"/>
  <c r="M47" i="25" s="1"/>
  <c r="N47" i="25" s="1"/>
  <c r="P47" i="25" s="1"/>
  <c r="K7" i="25"/>
  <c r="M7" i="25" s="1"/>
  <c r="N7" i="25" s="1"/>
  <c r="P7" i="25" s="1"/>
  <c r="J20" i="25"/>
  <c r="N20" i="25" s="1"/>
  <c r="P20" i="25" s="1"/>
  <c r="J26" i="25"/>
  <c r="L43" i="25"/>
  <c r="K43" i="25"/>
  <c r="M50" i="25"/>
  <c r="L24" i="25"/>
  <c r="L7" i="25"/>
  <c r="K24" i="25"/>
  <c r="M24" i="25" s="1"/>
  <c r="K41" i="25"/>
  <c r="M41" i="25" s="1"/>
  <c r="J41" i="25"/>
  <c r="L39" i="25"/>
  <c r="N50" i="25"/>
  <c r="P50" i="25" s="1"/>
  <c r="M23" i="25"/>
  <c r="N23" i="25" s="1"/>
  <c r="P23" i="25" s="1"/>
  <c r="M19" i="25"/>
  <c r="J10" i="25"/>
  <c r="L16" i="25"/>
  <c r="K16" i="25"/>
  <c r="M16" i="25" s="1"/>
  <c r="N16" i="25" s="1"/>
  <c r="P16" i="25" s="1"/>
  <c r="L33" i="25"/>
  <c r="M33" i="25" s="1"/>
  <c r="N33" i="25" s="1"/>
  <c r="P33" i="25" s="1"/>
  <c r="K44" i="25"/>
  <c r="M44" i="25" s="1"/>
  <c r="L46" i="25"/>
  <c r="M46" i="25" s="1"/>
  <c r="J44" i="25"/>
  <c r="J27" i="25"/>
  <c r="K31" i="25"/>
  <c r="M31" i="25" s="1"/>
  <c r="J33" i="25"/>
  <c r="J46" i="25"/>
  <c r="N24" i="25"/>
  <c r="P24" i="25" s="1"/>
  <c r="M43" i="25"/>
  <c r="N43" i="25" s="1"/>
  <c r="P43" i="25" s="1"/>
  <c r="M53" i="25"/>
  <c r="N53" i="25" s="1"/>
  <c r="P53" i="25" s="1"/>
  <c r="L10" i="25"/>
  <c r="M10" i="25" s="1"/>
  <c r="J14" i="25"/>
  <c r="K27" i="25"/>
  <c r="M27" i="25" s="1"/>
  <c r="J31" i="25"/>
  <c r="N34" i="25"/>
  <c r="P34" i="25" s="1"/>
  <c r="L14" i="25"/>
  <c r="M14" i="25" s="1"/>
  <c r="L40" i="25"/>
  <c r="L29" i="25"/>
  <c r="K40" i="25"/>
  <c r="M40" i="25" s="1"/>
  <c r="N40" i="25" s="1"/>
  <c r="P40" i="25" s="1"/>
  <c r="N41" i="25"/>
  <c r="P41" i="25" s="1"/>
  <c r="N11" i="25"/>
  <c r="P11" i="25" s="1"/>
  <c r="N21" i="25"/>
  <c r="P21" i="25" s="1"/>
  <c r="K8" i="25"/>
  <c r="M8" i="25" s="1"/>
  <c r="K18" i="25"/>
  <c r="M18" i="25" s="1"/>
  <c r="K28" i="25"/>
  <c r="M28" i="25" s="1"/>
  <c r="K38" i="25"/>
  <c r="M38" i="25" s="1"/>
  <c r="K48" i="25"/>
  <c r="M48" i="25" s="1"/>
  <c r="J8" i="25"/>
  <c r="N8" i="25" s="1"/>
  <c r="P8" i="25" s="1"/>
  <c r="J18" i="25"/>
  <c r="J28" i="25"/>
  <c r="J38" i="25"/>
  <c r="J48" i="25"/>
  <c r="K49" i="25"/>
  <c r="M49" i="25" s="1"/>
  <c r="N49" i="25" s="1"/>
  <c r="P49" i="25" s="1"/>
  <c r="K9" i="25"/>
  <c r="M9" i="25" s="1"/>
  <c r="N9" i="25" s="1"/>
  <c r="P9" i="25" s="1"/>
  <c r="K29" i="25"/>
  <c r="K39" i="25"/>
  <c r="M39" i="25" s="1"/>
  <c r="N39" i="25" s="1"/>
  <c r="P39" i="25" s="1"/>
  <c r="L22" i="25"/>
  <c r="L52" i="25"/>
  <c r="K12" i="25"/>
  <c r="M12" i="25" s="1"/>
  <c r="K22" i="25"/>
  <c r="K32" i="25"/>
  <c r="M32" i="25" s="1"/>
  <c r="K42" i="25"/>
  <c r="M42" i="25" s="1"/>
  <c r="K52" i="25"/>
  <c r="J12" i="25"/>
  <c r="L15" i="25"/>
  <c r="L25" i="25"/>
  <c r="J32" i="25"/>
  <c r="N32" i="25" s="1"/>
  <c r="P32" i="25" s="1"/>
  <c r="L35" i="25"/>
  <c r="J42" i="25"/>
  <c r="L45" i="25"/>
  <c r="J19" i="25"/>
  <c r="K15" i="25"/>
  <c r="K25" i="25"/>
  <c r="K35" i="25"/>
  <c r="K45" i="25"/>
  <c r="M45" i="25" s="1"/>
  <c r="N45" i="25" s="1"/>
  <c r="P45" i="25" s="1"/>
  <c r="E2" i="22"/>
  <c r="E4" i="22" s="1" a="1"/>
  <c r="E4" i="22" s="1"/>
  <c r="D33" i="26"/>
  <c r="I2" i="12"/>
  <c r="N19" i="25" l="1"/>
  <c r="P19" i="25" s="1"/>
  <c r="N27" i="25"/>
  <c r="P27" i="25" s="1"/>
  <c r="N44" i="25"/>
  <c r="P44" i="25" s="1"/>
  <c r="M29" i="25"/>
  <c r="N29" i="25" s="1"/>
  <c r="P29" i="25" s="1"/>
  <c r="N26" i="25"/>
  <c r="P26" i="25" s="1"/>
  <c r="N31" i="25"/>
  <c r="P31" i="25" s="1"/>
  <c r="N10" i="25"/>
  <c r="P10" i="25" s="1"/>
  <c r="N14" i="25"/>
  <c r="P14" i="25" s="1"/>
  <c r="N12" i="25"/>
  <c r="P12" i="25" s="1"/>
  <c r="M52" i="25"/>
  <c r="N52" i="25" s="1"/>
  <c r="P52" i="25" s="1"/>
  <c r="N46" i="25"/>
  <c r="P46" i="25" s="1"/>
  <c r="M22" i="25"/>
  <c r="N22" i="25" s="1"/>
  <c r="P22" i="25" s="1"/>
  <c r="M25" i="25"/>
  <c r="N25" i="25" s="1"/>
  <c r="P25" i="25" s="1"/>
  <c r="M15" i="25"/>
  <c r="N15" i="25" s="1"/>
  <c r="P15" i="25" s="1"/>
  <c r="N28" i="25"/>
  <c r="P28" i="25" s="1"/>
  <c r="M35" i="25"/>
  <c r="N35" i="25" s="1"/>
  <c r="P35" i="25" s="1"/>
  <c r="N48" i="25"/>
  <c r="P48" i="25" s="1"/>
  <c r="N38" i="25"/>
  <c r="P38" i="25" s="1"/>
  <c r="N42" i="25"/>
  <c r="P42" i="25" s="1"/>
  <c r="N18" i="25"/>
  <c r="P18" i="25" s="1"/>
  <c r="H2" i="12"/>
  <c r="C6" i="16" l="1" a="1"/>
  <c r="C6" i="16" s="1"/>
  <c r="C14" i="16" a="1"/>
  <c r="C14" i="16" s="1"/>
  <c r="D5" i="26" l="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C5" i="26"/>
  <c r="C6" i="26"/>
  <c r="C7" i="26"/>
  <c r="C8" i="26"/>
  <c r="C9" i="26"/>
  <c r="C10" i="26"/>
  <c r="C11" i="26"/>
  <c r="C12" i="26"/>
  <c r="C13" i="26"/>
  <c r="C14" i="26"/>
  <c r="C15" i="26"/>
  <c r="C16" i="26"/>
  <c r="C17" i="26"/>
  <c r="C18" i="26"/>
  <c r="C19" i="26"/>
  <c r="C20" i="26"/>
  <c r="C21" i="26"/>
  <c r="C22" i="26"/>
  <c r="C23" i="26"/>
  <c r="C24" i="26"/>
  <c r="C25" i="26"/>
  <c r="C26" i="26"/>
  <c r="C27" i="26"/>
  <c r="C28" i="26"/>
  <c r="C29" i="26"/>
  <c r="C30" i="26"/>
  <c r="C31" i="26"/>
  <c r="C32" i="26"/>
  <c r="C33" i="26"/>
  <c r="E24" i="26" l="1"/>
  <c r="E20" i="26"/>
  <c r="E6" i="26"/>
  <c r="E31" i="26"/>
  <c r="E28" i="26"/>
  <c r="E8" i="26"/>
  <c r="E27" i="26"/>
  <c r="E7" i="26"/>
  <c r="E32" i="26"/>
  <c r="E12" i="26"/>
  <c r="E11" i="26"/>
  <c r="E5" i="26"/>
  <c r="E25" i="26"/>
  <c r="E26" i="26"/>
  <c r="E23" i="26"/>
  <c r="E22" i="26"/>
  <c r="E18" i="26"/>
  <c r="E21" i="26"/>
  <c r="E14" i="26"/>
  <c r="E33" i="26"/>
  <c r="E13" i="26"/>
  <c r="E19" i="26"/>
  <c r="E16" i="26"/>
  <c r="E15" i="26"/>
  <c r="E30" i="26"/>
  <c r="E10" i="26"/>
  <c r="E29" i="26"/>
  <c r="E9" i="26"/>
  <c r="E17" i="26"/>
  <c r="D4" i="26"/>
  <c r="C4" i="26"/>
  <c r="F3" i="15"/>
  <c r="E4" i="26" l="1"/>
  <c r="C11" i="16" l="1" a="1"/>
  <c r="C11" i="16" s="1"/>
  <c r="C10" i="16" a="1"/>
  <c r="C10" i="16" s="1"/>
  <c r="B2" i="12" l="1" a="1"/>
  <c r="B2" i="12" s="1"/>
  <c r="K3" i="25" l="1"/>
  <c r="B2" i="25" a="1"/>
  <c r="B2" i="25" s="1"/>
  <c r="B1" i="24" a="1"/>
  <c r="B1" i="24" s="1"/>
  <c r="K2" i="25" l="1"/>
  <c r="B2" i="23" l="1" a="1"/>
  <c r="B2" i="23" s="1"/>
  <c r="B4" i="22" a="1"/>
  <c r="B4" i="22" s="1"/>
  <c r="H2" i="24" l="1"/>
  <c r="B2" i="17" a="1"/>
  <c r="B2" i="17" s="1"/>
  <c r="B9" i="24" a="1"/>
  <c r="B9" i="24" l="1"/>
  <c r="D6" i="24" s="1"/>
  <c r="H3" i="24"/>
  <c r="H4" i="24"/>
  <c r="B2" i="15" a="1"/>
  <c r="B2" i="15" s="1"/>
  <c r="C7" i="16" a="1"/>
  <c r="C7" i="16" s="1"/>
  <c r="B1" i="14" a="1"/>
  <c r="B1" i="14" s="1"/>
  <c r="H5" i="24" l="1"/>
  <c r="H6" i="24" s="1"/>
  <c r="P3" i="25"/>
  <c r="N3"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9C1F78-CE11-44DB-88BA-26A1B72F3BAB}" keepAlive="1" name="Query - cfgCompAdrs" description="Connection to the 'cfgCompAdrs' query in the workbook." type="5" refreshedVersion="8" background="1" saveData="1">
    <dbPr connection="Provider=Microsoft.Mashup.OleDb.1;Data Source=$Workbook$;Location=cfgCompAdrs;Extended Properties=&quot;&quot;" command="SELECT * FROM [cfgCompAdrs]"/>
  </connection>
  <connection id="2" xr16:uid="{AE225000-BECE-40D4-9FC4-3E010633D546}" keepAlive="1" name="Query - cfgCompName" description="Connection to the 'cfgCompName' query in the workbook." type="5" refreshedVersion="8" background="1" saveData="1">
    <dbPr connection="Provider=Microsoft.Mashup.OleDb.1;Data Source=$Workbook$;Location=cfgCompName;Extended Properties=&quot;&quot;" command="SELECT * FROM [cfgCompName]"/>
  </connection>
  <connection id="3" xr16:uid="{7C6460F0-662F-4DD7-B161-303A2AF37CB5}" keepAlive="1" name="Query - cfgEndDate" description="Connection to the 'cfgEndDate' query in the workbook." type="5" refreshedVersion="8" background="1" saveData="1">
    <dbPr connection="Provider=Microsoft.Mashup.OleDb.1;Data Source=$Workbook$;Location=cfgEndDate;Extended Properties=&quot;&quot;" command="SELECT * FROM [cfgEndDate]"/>
  </connection>
  <connection id="4" xr16:uid="{8B2099DD-FAEE-4C89-B104-EC1C80DC1E18}" keepAlive="1" name="Query - cfgEquity" description="Connection to the 'cfgEquity' query in the workbook." type="5" refreshedVersion="8" background="1" saveData="1">
    <dbPr connection="Provider=Microsoft.Mashup.OleDb.1;Data Source=$Workbook$;Location=cfgEquity;Extended Properties=&quot;&quot;" command="SELECT * FROM [cfgEquity]"/>
  </connection>
  <connection id="5" xr16:uid="{434AB726-E912-489C-B11E-30F820B7EF4D}" keepAlive="1" name="Query - cfgI5d3m0" description="Connection to the 'cfgI5d3m0' query in the workbook." type="5" refreshedVersion="0" background="1">
    <dbPr connection="Provider=Microsoft.Mashup.OleDb.1;Data Source=$Workbook$;Location=cfgI5d3m0;Extended Properties=&quot;&quot;" command="SELECT * FROM [cfgI5d3m0]"/>
  </connection>
  <connection id="6" xr16:uid="{3268B96A-49C9-4058-9EFF-5408ADC4416E}" keepAlive="1" name="Query - cfgMaster" description="Connection to the 'cfgMaster' query in the workbook." type="5" refreshedVersion="0" background="1">
    <dbPr connection="Provider=Microsoft.Mashup.OleDb.1;Data Source=$Workbook$;Location=cfgMaster;Extended Properties=&quot;&quot;" command="SELECT * FROM [cfgMaster]"/>
  </connection>
  <connection id="7" xr16:uid="{27D1E0B4-1C34-49C1-B030-1F8527B10D71}" keepAlive="1" name="Query - cfgStartDate" description="Connection to the 'cfgStartDate' query in the workbook." type="5" refreshedVersion="8" background="1" saveData="1">
    <dbPr connection="Provider=Microsoft.Mashup.OleDb.1;Data Source=$Workbook$;Location=cfgStartDate;Extended Properties=&quot;&quot;" command="SELECT * FROM [cfgStartDate]"/>
  </connection>
  <connection id="8" xr16:uid="{B1752C6F-786E-41BD-950E-1E42256F8904}" keepAlive="1" name="Query - DS" description="Connection to the 'DS' query in the workbook." type="5" refreshedVersion="0" background="1">
    <dbPr connection="Provider=Microsoft.Mashup.OleDb.1;Data Source=$Workbook$;Location=DS;Extended Properties=&quot;&quot;" command="SELECT * FROM [DS]"/>
  </connection>
  <connection id="9" xr16:uid="{1C0523FA-7D0A-4E72-80A8-2840EE00C7A7}" keepAlive="1" name="Query - tbBatch" description="Connection to the 'tbBatch' query in the workbook." type="5" refreshedVersion="8" background="1" saveData="1">
    <dbPr connection="Provider=Microsoft.Mashup.OleDb.1;Data Source=$Workbook$;Location=tbBatch;Extended Properties=&quot;&quot;" command="SELECT * FROM [tbBatch]"/>
  </connection>
  <connection id="10" xr16:uid="{D19C70BE-3BA8-4776-9A72-C3A942D4B4A4}" keepAlive="1" name="Query - tbCoa" description="Connection to the 'tbCoa' query in the workbook." type="5" refreshedVersion="8" background="1" saveData="1">
    <dbPr connection="Provider=Microsoft.Mashup.OleDb.1;Data Source=$Workbook$;Location=tbCoa;Extended Properties=&quot;&quot;" command="SELECT * FROM [tbCoa]"/>
  </connection>
  <connection id="11" xr16:uid="{6CB56CCC-6021-4A24-90A6-C93E019C02C1}" keepAlive="1" name="Query - tbCos" description="Connection to the 'tbCos' query in the workbook." type="5" refreshedVersion="8" background="1" saveData="1">
    <dbPr connection="Provider=Microsoft.Mashup.OleDb.1;Data Source=$Workbook$;Location=tbCos;Extended Properties=&quot;&quot;" command="SELECT * FROM [tbC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<sst xmlns="http://schemas.openxmlformats.org/spreadsheetml/2006/main" count="158" uniqueCount="110">
  <si>
    <t>Group</t>
  </si>
  <si>
    <t>#</t>
  </si>
  <si>
    <t>Rep</t>
  </si>
  <si>
    <t>Head</t>
  </si>
  <si>
    <t>Code</t>
  </si>
  <si>
    <t>Name</t>
  </si>
  <si>
    <t>Type</t>
  </si>
  <si>
    <t>Account Name</t>
  </si>
  <si>
    <t>Contra</t>
  </si>
  <si>
    <t>Status</t>
  </si>
  <si>
    <t>Remarks</t>
  </si>
  <si>
    <t>Active</t>
  </si>
  <si>
    <t>Number</t>
  </si>
  <si>
    <t>Norm</t>
  </si>
  <si>
    <t>Sgroup</t>
  </si>
  <si>
    <t>Description</t>
  </si>
  <si>
    <t>current_path</t>
  </si>
  <si>
    <t>CHART OF ACCOUNT</t>
  </si>
  <si>
    <t>cfgCompName</t>
  </si>
  <si>
    <t>cfgCompAdrs</t>
  </si>
  <si>
    <t>cfgStartDate</t>
  </si>
  <si>
    <t>cfgEndDate</t>
  </si>
  <si>
    <t xml:space="preserve">Start date: </t>
  </si>
  <si>
    <t xml:space="preserve">End date: </t>
  </si>
  <si>
    <t>Batch Journal</t>
  </si>
  <si>
    <t>Date</t>
  </si>
  <si>
    <t>Batch</t>
  </si>
  <si>
    <t>Ref</t>
  </si>
  <si>
    <t>Amount</t>
  </si>
  <si>
    <t>Notes</t>
  </si>
  <si>
    <t xml:space="preserve">Checker: </t>
  </si>
  <si>
    <t>Opening Balance</t>
  </si>
  <si>
    <t>_amount</t>
  </si>
  <si>
    <t>Zero</t>
  </si>
  <si>
    <t>Ori Name</t>
  </si>
  <si>
    <t>active</t>
  </si>
  <si>
    <t>cc</t>
  </si>
  <si>
    <t>sub</t>
  </si>
  <si>
    <t>Chart Of Subsidiary</t>
  </si>
  <si>
    <t>CoaCode</t>
  </si>
  <si>
    <t>CosCode</t>
  </si>
  <si>
    <t>CosGroup</t>
  </si>
  <si>
    <t>#vd</t>
  </si>
  <si>
    <t>CosGr</t>
  </si>
  <si>
    <t>CosNum</t>
  </si>
  <si>
    <t>d/c</t>
  </si>
  <si>
    <t>_val1</t>
  </si>
  <si>
    <t>Balance</t>
  </si>
  <si>
    <t xml:space="preserve">mode: </t>
  </si>
  <si>
    <t xml:space="preserve">code: </t>
  </si>
  <si>
    <t xml:space="preserve">start date: </t>
  </si>
  <si>
    <t xml:space="preserve">end date: </t>
  </si>
  <si>
    <t xml:space="preserve">debit: </t>
  </si>
  <si>
    <t xml:space="preserve">credit: </t>
  </si>
  <si>
    <t xml:space="preserve">opening: </t>
  </si>
  <si>
    <t xml:space="preserve">ending: </t>
  </si>
  <si>
    <t xml:space="preserve">mutation: </t>
  </si>
  <si>
    <t>Debit</t>
  </si>
  <si>
    <t>Credit</t>
  </si>
  <si>
    <t>Mutation</t>
  </si>
  <si>
    <t>Ending Balance</t>
  </si>
  <si>
    <t>End date:</t>
  </si>
  <si>
    <t>Start date:</t>
  </si>
  <si>
    <t>Balanced</t>
  </si>
  <si>
    <t>Row checker:</t>
  </si>
  <si>
    <t>TRIAL BALANCED</t>
  </si>
  <si>
    <t>Report</t>
  </si>
  <si>
    <t>bank</t>
  </si>
  <si>
    <t>Jl. xxx, Jakarta</t>
  </si>
  <si>
    <t>Tags</t>
  </si>
  <si>
    <t>General Journal</t>
  </si>
  <si>
    <t>cfgEquity</t>
  </si>
  <si>
    <t>Equity Code:</t>
  </si>
  <si>
    <t>Temporer Account:</t>
  </si>
  <si>
    <t>develop by Cheries, 0823-4734-2652 (What's App)</t>
  </si>
  <si>
    <t>The best spreadsheet based accounting application, design by Accountant, simple and easy to use</t>
  </si>
  <si>
    <t>Company Info</t>
  </si>
  <si>
    <t>Address</t>
  </si>
  <si>
    <t>Accounting Period</t>
  </si>
  <si>
    <t>Other Settings</t>
  </si>
  <si>
    <t>#Void</t>
  </si>
  <si>
    <t>Reconcile</t>
  </si>
  <si>
    <t>Variance</t>
  </si>
  <si>
    <t>Variance:</t>
  </si>
  <si>
    <t>note: double click on "CoaCode" or "CosCode" to open ledger</t>
  </si>
  <si>
    <t>GJ Column Width:</t>
  </si>
  <si>
    <t>todo: add text Wrap for column "Description" for event Worksheet_Changed (but only if  C6 has change)</t>
  </si>
  <si>
    <t>Diff</t>
  </si>
  <si>
    <t>Transaction Audit</t>
  </si>
  <si>
    <t>License Info</t>
  </si>
  <si>
    <t>Message</t>
  </si>
  <si>
    <t>PT SimAcc Consulting</t>
  </si>
  <si>
    <t>Datasouce</t>
  </si>
  <si>
    <t>Master</t>
  </si>
  <si>
    <t>App Id:</t>
  </si>
  <si>
    <t>Server:</t>
  </si>
  <si>
    <t>Tax</t>
  </si>
  <si>
    <t>tb</t>
  </si>
  <si>
    <t>3B1D193110597C461F20144D340019291601261A0833000C3D1D082F174D3006006E000B361B0424104E3104016E100A3E080E224C11360F1E6E0B06320D1E6E0E023A0742</t>
  </si>
  <si>
    <t>SimAcc v3 - Transaction</t>
  </si>
  <si>
    <t>note: double click date to quickly go to corresponding date on Journal Entry</t>
  </si>
  <si>
    <t>Cf</t>
  </si>
  <si>
    <t>_val2</t>
  </si>
  <si>
    <t>IsCF</t>
  </si>
  <si>
    <t>Sheet ini bisa di gunakan untuk notes</t>
  </si>
  <si>
    <t>C:\Users\cheri\Documents\GDrive\ocac\demo\sa3Master.xlsm</t>
  </si>
  <si>
    <t>Column7</t>
  </si>
  <si>
    <t>note: batch dengan kode "tax" harus di input untuk jurnal koreksi fiskal</t>
  </si>
  <si>
    <t>[#Deactivate]</t>
  </si>
  <si>
    <t xml:space="preserve">Welcome to SimAcc v.3 (Demo Version), The Best Spreadsheet base Accounting Application. Contact +62 823 4734 2652 (Whats App only) to buy and get SimAcc v3 full version.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</si>
</sst>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dd\ mmm\ yyyy"/>
    <numFmt numFmtId="165" formatCode="000"/>
    <numFmt numFmtId="166" formatCode="[Color31]#,##0;[Color30]#,##0;0"/>
    <numFmt numFmtId="167" formatCode="[Color31]#,##0_);[Color30]\(#,##0\);_0"/>
    <numFmt numFmtId="168" formatCode="#,##0;#,##0;;@"/>
    <numFmt numFmtId="169" formatCode="[Color31]#,##0_);[Color30]\(#,##0\);0_)"/>
    <numFmt numFmtId="170" formatCode="#,##0_);\(#,##0\);0_)"/>
    <numFmt numFmtId="171" formatCode="[Color46]\(#,##0\);[Color42]#,##0_);0"/>
    <numFmt numFmtId="172" formatCode="[Color31]#,##0_);[Color30]\(#,##0\);"/>
    <numFmt numFmtId="173" formatCode="#,##0_);[Color30]\(#,##0\);\o\k"/>
    <numFmt numFmtId="174" formatCode="General;&quot;Your app is not activated&quot;;General"/>
    <numFmt numFmtId="175" formatCode="#,##0;&quot;##Need Activation##&quot;;General"/>
    <numFmt numFmtId="176" formatCode="0000\-0000\-0000"/>
  </numFmts>
  <fonts count="34" x14ac:knownFonts="1">
    <font>
      <sz val="10"/>
      <color theme="1"/>
      <name val="Calibri"/>
      <family val="2"/>
      <scheme val="minor"/>
    </font>
    <font>
      <b/>
      <sz val="10"/>
      <color theme="1"/>
      <name val="Calibri"/>
      <family val="2"/>
      <scheme val="minor"/>
    </font>
    <font>
      <sz val="10"/>
      <color rgb="FFECF9C3"/>
      <name val="Calibri"/>
      <family val="2"/>
      <scheme val="minor"/>
    </font>
    <font>
      <b/>
      <sz val="12"/>
      <color rgb="FFECF9C3"/>
      <name val="Calibri"/>
      <family val="2"/>
      <scheme val="minor"/>
    </font>
    <font>
      <sz val="8"/>
      <color theme="1"/>
      <name val="Calibri"/>
      <family val="2"/>
      <scheme val="minor"/>
    </font>
    <font>
      <b/>
      <sz val="10"/>
      <color theme="5" tint="0.79998168889431442"/>
      <name val="Calibri"/>
      <family val="2"/>
      <scheme val="minor"/>
    </font>
    <font>
      <b/>
      <sz val="10"/>
      <color theme="1" tint="0.34998626667073579"/>
      <name val="Calibri"/>
      <family val="2"/>
      <scheme val="minor"/>
    </font>
    <font>
      <b/>
      <sz val="12"/>
      <color theme="1" tint="0.34998626667073579"/>
      <name val="Calibri"/>
      <family val="2"/>
      <scheme val="minor"/>
    </font>
    <font>
      <sz val="8"/>
      <name val="Calibri"/>
      <family val="2"/>
      <scheme val="minor"/>
    </font>
    <font>
      <b/>
      <sz val="10"/>
      <color rgb="FF006666"/>
      <name val="Calibri"/>
      <family val="2"/>
      <scheme val="minor"/>
    </font>
    <font>
      <b/>
      <sz val="11"/>
      <color rgb="FF006666"/>
      <name val="Calibri"/>
      <family val="2"/>
      <scheme val="minor"/>
    </font>
    <font>
      <b/>
      <sz val="12"/>
      <color rgb="FF006666"/>
      <name val="Calibri"/>
      <family val="2"/>
      <scheme val="minor"/>
    </font>
    <font>
      <sz val="10"/>
      <color rgb="FFBCEADF"/>
      <name val="Calibri"/>
      <family val="2"/>
      <scheme val="minor"/>
    </font>
    <font>
      <b/>
      <sz val="12"/>
      <color rgb="FFBCEADF"/>
      <name val="Calibri"/>
      <family val="2"/>
      <scheme val="minor"/>
    </font>
    <font>
      <sz val="10"/>
      <color rgb="FF006666"/>
      <name val="Calibri"/>
      <family val="2"/>
      <scheme val="minor"/>
    </font>
    <font>
      <b/>
      <sz val="10"/>
      <color rgb="FFE3F5EF"/>
      <name val="Calibri"/>
      <family val="2"/>
      <scheme val="minor"/>
    </font>
    <font>
      <sz val="10"/>
      <color rgb="FFD3F7E9"/>
      <name val="Calibri"/>
      <family val="2"/>
      <scheme val="minor"/>
    </font>
    <font>
      <b/>
      <sz val="12"/>
      <color rgb="FFD3F7E9"/>
      <name val="Calibri"/>
      <family val="2"/>
      <scheme val="minor"/>
    </font>
    <font>
      <sz val="10"/>
      <color rgb="FF00DBD6"/>
      <name val="Calibri"/>
      <family val="2"/>
      <scheme val="minor"/>
    </font>
    <font>
      <b/>
      <sz val="11"/>
      <color rgb="FFF6ACCD"/>
      <name val="Calibri"/>
      <family val="2"/>
      <scheme val="minor"/>
    </font>
    <font>
      <sz val="10"/>
      <color rgb="FFF6ACCD"/>
      <name val="Calibri"/>
      <family val="2"/>
      <scheme val="minor"/>
    </font>
    <font>
      <b/>
      <sz val="12"/>
      <color rgb="FFF6ACCD"/>
      <name val="Calibri"/>
      <family val="2"/>
      <scheme val="minor"/>
    </font>
    <font>
      <sz val="10"/>
      <color rgb="FF94104C"/>
      <name val="Calibri"/>
      <family val="2"/>
      <scheme val="minor"/>
    </font>
    <font>
      <sz val="9"/>
      <color theme="1"/>
      <name val="Calibri"/>
      <family val="2"/>
      <scheme val="minor"/>
    </font>
    <font>
      <b/>
      <sz val="14"/>
      <color rgb="FFECF9C3"/>
      <name val="Calibri"/>
      <family val="2"/>
      <scheme val="minor"/>
    </font>
    <font>
      <sz val="12"/>
      <color theme="1"/>
      <name val="Calibri"/>
      <family val="2"/>
      <scheme val="minor"/>
    </font>
    <font>
      <sz val="10"/>
      <color theme="3" tint="0.59999389629810485"/>
      <name val="Calibri"/>
      <family val="2"/>
      <scheme val="minor"/>
    </font>
    <font>
      <b/>
      <sz val="16"/>
      <color theme="3" tint="0.59999389629810485"/>
      <name val="Calibri"/>
      <family val="2"/>
      <scheme val="minor"/>
    </font>
    <font>
      <sz val="9"/>
      <color theme="5" tint="0.39997558519241921"/>
      <name val="Calibri"/>
      <family val="2"/>
      <scheme val="minor"/>
    </font>
    <font>
      <b/>
      <i/>
      <sz val="9"/>
      <color theme="5" tint="0.39997558519241921"/>
      <name val="Calibri"/>
      <family val="2"/>
      <scheme val="minor"/>
    </font>
    <font>
      <b/>
      <i/>
      <sz val="8"/>
      <color theme="8" tint="-0.249977111117893"/>
      <name val="Calibri"/>
      <family val="2"/>
      <scheme val="minor"/>
    </font>
    <font>
      <sz val="10"/>
      <color rgb="FF87231B"/>
      <name val="Calibri"/>
      <family val="2"/>
      <scheme val="minor"/>
    </font>
    <font>
      <sz val="10"/>
      <color rgb="FFC00000"/>
      <name val="Calibri"/>
      <family val="2"/>
      <scheme val="minor"/>
    </font>
    <font>
      <sz val="8"/>
      <color theme="3" tint="0.59999389629810485"/>
      <name val="Calibri"/>
      <family val="2"/>
      <scheme val="minor"/>
    </font>
  </fonts>
  <fills count="17">
    <fill>
      <patternFill patternType="none"/>
    </fill>
    <fill>
      <patternFill patternType="gray125"/>
    </fill>
    <fill>
      <patternFill patternType="solid">
        <fgColor rgb="FF4B5F27"/>
        <bgColor indexed="64"/>
      </patternFill>
    </fill>
    <fill>
      <patternFill patternType="solid">
        <fgColor theme="6" tint="0.59999389629810485"/>
        <bgColor indexed="64"/>
      </patternFill>
    </fill>
    <fill>
      <patternFill patternType="solid">
        <fgColor theme="6" tint="-0.499984740745262"/>
        <bgColor indexed="64"/>
      </patternFill>
    </fill>
    <fill>
      <patternFill patternType="solid">
        <fgColor rgb="FFBCEADF"/>
        <bgColor indexed="64"/>
      </patternFill>
    </fill>
    <fill>
      <patternFill patternType="solid">
        <fgColor rgb="FF006666"/>
        <bgColor indexed="64"/>
      </patternFill>
    </fill>
    <fill>
      <patternFill patternType="solid">
        <fgColor rgb="FFFFCCFF"/>
        <bgColor indexed="64"/>
      </patternFill>
    </fill>
    <fill>
      <patternFill patternType="solid">
        <fgColor rgb="FFD3F7E9"/>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rgb="FFF7D9EA"/>
        <bgColor indexed="64"/>
      </patternFill>
    </fill>
    <fill>
      <patternFill patternType="solid">
        <fgColor rgb="FFDBDBDB"/>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9" tint="-0.499984740745262"/>
        <bgColor indexed="64"/>
      </patternFill>
    </fill>
    <fill>
      <patternFill patternType="solid">
        <fgColor rgb="FFF5E7ED"/>
        <bgColor indexed="64"/>
      </patternFill>
    </fill>
  </fills>
  <borders count="17">
    <border>
      <left/>
      <right/>
      <top/>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right/>
      <top/>
      <bottom style="thin">
        <color rgb="FF00DBD6"/>
      </bottom>
      <diagonal/>
    </border>
    <border>
      <left/>
      <right/>
      <top style="thin">
        <color rgb="FF00DBD6"/>
      </top>
      <bottom style="thin">
        <color rgb="FF00DBD6"/>
      </bottom>
      <diagonal/>
    </border>
    <border>
      <left style="thin">
        <color rgb="FF00DBD6"/>
      </left>
      <right/>
      <top style="thin">
        <color rgb="FF00DBD6"/>
      </top>
      <bottom style="thin">
        <color rgb="FF00DBD6"/>
      </bottom>
      <diagonal/>
    </border>
    <border>
      <left/>
      <right style="thin">
        <color rgb="FF00DBD6"/>
      </right>
      <top style="thin">
        <color rgb="FF00DBD6"/>
      </top>
      <bottom style="thin">
        <color rgb="FF00DBD6"/>
      </bottom>
      <diagonal/>
    </border>
    <border>
      <left/>
      <right style="thin">
        <color rgb="FF00DBD6"/>
      </right>
      <top style="thin">
        <color rgb="FF00DBD6"/>
      </top>
      <bottom/>
      <diagonal/>
    </border>
    <border>
      <left style="thin">
        <color rgb="FF00DBD6"/>
      </left>
      <right/>
      <top style="thin">
        <color rgb="FF00DBD6"/>
      </top>
      <bottom/>
      <diagonal/>
    </border>
    <border>
      <left style="thin">
        <color rgb="FF00DBD6"/>
      </left>
      <right style="thin">
        <color rgb="FF006666"/>
      </right>
      <top/>
      <bottom/>
      <diagonal/>
    </border>
    <border>
      <left style="thin">
        <color rgb="FF00DBD6"/>
      </left>
      <right style="thin">
        <color rgb="FF006666"/>
      </right>
      <top/>
      <bottom style="thin">
        <color rgb="FF00DBD6"/>
      </bottom>
      <diagonal/>
    </border>
    <border>
      <left style="thin">
        <color rgb="FF00DBD6"/>
      </left>
      <right style="thin">
        <color rgb="FF006666"/>
      </right>
      <top style="thin">
        <color rgb="FF00DBD6"/>
      </top>
      <bottom style="thin">
        <color rgb="FF00DBD6"/>
      </bottom>
      <diagonal/>
    </border>
    <border>
      <left style="thin">
        <color theme="3" tint="0.59996337778862885"/>
      </left>
      <right style="thin">
        <color theme="3" tint="0.59996337778862885"/>
      </right>
      <top/>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3" tint="0.39991454817346722"/>
      </left>
      <right style="thin">
        <color theme="3" tint="0.39994506668294322"/>
      </right>
      <top style="thin">
        <color theme="3" tint="0.39991454817346722"/>
      </top>
      <bottom style="thin">
        <color theme="3" tint="0.39994506668294322"/>
      </bottom>
      <diagonal/>
    </border>
    <border>
      <left style="thin">
        <color theme="3" tint="0.39994506668294322"/>
      </left>
      <right style="thin">
        <color theme="3" tint="0.39991454817346722"/>
      </right>
      <top style="thin">
        <color theme="3" tint="0.39991454817346722"/>
      </top>
      <bottom style="thin">
        <color theme="3" tint="0.39994506668294322"/>
      </bottom>
      <diagonal/>
    </border>
    <border>
      <left style="thin">
        <color theme="3" tint="0.39991454817346722"/>
      </left>
      <right style="thin">
        <color theme="3" tint="0.39994506668294322"/>
      </right>
      <top style="thin">
        <color theme="3" tint="0.39994506668294322"/>
      </top>
      <bottom style="thin">
        <color theme="3" tint="0.39991454817346722"/>
      </bottom>
      <diagonal/>
    </border>
    <border>
      <left style="thin">
        <color theme="3" tint="0.39994506668294322"/>
      </left>
      <right style="thin">
        <color theme="3" tint="0.39991454817346722"/>
      </right>
      <top style="thin">
        <color theme="3" tint="0.39994506668294322"/>
      </top>
      <bottom style="thin">
        <color theme="3" tint="0.39991454817346722"/>
      </bottom>
      <diagonal/>
    </border>
  </borders>
  <cellStyleXfs count="1">
    <xf numFmtId="0" fontId="0" fillId="0" borderId="0"/>
  </cellStyleXfs>
  <cellXfs count="89">
    <xf numFmtId="0" fontId="0" fillId="0" borderId="0" xfId="0"/>
    <xf numFmtId="165" fontId="0" fillId="0" borderId="0" xfId="0" applyNumberFormat="1"/>
    <xf numFmtId="0" fontId="0" fillId="0" borderId="0" xfId="0" applyAlignment="1">
      <alignment horizontal="center" vertical="center"/>
    </xf>
    <xf numFmtId="0" fontId="2" fillId="2" borderId="0" xfId="0" applyFont="1" applyFill="1"/>
    <xf numFmtId="0" fontId="3" fillId="2" borderId="0" xfId="0" applyFont="1" applyFill="1"/>
    <xf numFmtId="0" fontId="1" fillId="3" borderId="0" xfId="0" applyFont="1" applyFill="1"/>
    <xf numFmtId="0" fontId="1" fillId="3" borderId="0" xfId="0" applyFont="1" applyFill="1" applyAlignment="1">
      <alignment horizontal="right"/>
    </xf>
    <xf numFmtId="0" fontId="6" fillId="3" borderId="0" xfId="0" applyFont="1" applyFill="1"/>
    <xf numFmtId="0" fontId="7" fillId="3" borderId="0" xfId="0" applyFont="1" applyFill="1"/>
    <xf numFmtId="0" fontId="0" fillId="0" borderId="0" xfId="0" applyAlignment="1">
      <alignment horizontal="center"/>
    </xf>
    <xf numFmtId="166" fontId="0" fillId="0" borderId="0" xfId="0" applyNumberFormat="1" applyAlignment="1">
      <alignment vertical="center"/>
    </xf>
    <xf numFmtId="0" fontId="0" fillId="0" borderId="0" xfId="0" applyAlignment="1">
      <alignment vertical="center"/>
    </xf>
    <xf numFmtId="164" fontId="0" fillId="0" borderId="0" xfId="0" applyNumberFormat="1" applyAlignment="1">
      <alignment vertical="center"/>
    </xf>
    <xf numFmtId="3" fontId="0" fillId="0" borderId="0" xfId="0" applyNumberFormat="1" applyAlignment="1">
      <alignment vertical="center"/>
    </xf>
    <xf numFmtId="0" fontId="4" fillId="0" borderId="0" xfId="0" applyFont="1" applyAlignment="1">
      <alignment vertical="center"/>
    </xf>
    <xf numFmtId="0" fontId="9" fillId="5" borderId="0" xfId="0" applyFont="1" applyFill="1"/>
    <xf numFmtId="0" fontId="10" fillId="5" borderId="0" xfId="0" applyFont="1" applyFill="1"/>
    <xf numFmtId="0" fontId="11" fillId="5" borderId="0" xfId="0" applyFont="1" applyFill="1"/>
    <xf numFmtId="0" fontId="12" fillId="6" borderId="0" xfId="0" applyFont="1" applyFill="1"/>
    <xf numFmtId="0" fontId="13" fillId="6" borderId="0" xfId="0" applyFont="1" applyFill="1"/>
    <xf numFmtId="0" fontId="0" fillId="0" borderId="0" xfId="0" applyAlignment="1">
      <alignment vertical="center" shrinkToFit="1"/>
    </xf>
    <xf numFmtId="0" fontId="15" fillId="6" borderId="0" xfId="0" applyFont="1" applyFill="1" applyAlignment="1">
      <alignment horizontal="center" vertical="center"/>
    </xf>
    <xf numFmtId="0" fontId="19" fillId="4" borderId="0" xfId="0" applyFont="1" applyFill="1"/>
    <xf numFmtId="0" fontId="20" fillId="4" borderId="0" xfId="0" applyFont="1" applyFill="1"/>
    <xf numFmtId="0" fontId="21" fillId="4" borderId="0" xfId="0" applyFont="1" applyFill="1"/>
    <xf numFmtId="164" fontId="20" fillId="4" borderId="0" xfId="0" applyNumberFormat="1" applyFont="1" applyFill="1"/>
    <xf numFmtId="0" fontId="20" fillId="4" borderId="0" xfId="0" applyFont="1" applyFill="1" applyAlignment="1">
      <alignment horizontal="right"/>
    </xf>
    <xf numFmtId="14" fontId="0" fillId="0" borderId="0" xfId="0" applyNumberFormat="1"/>
    <xf numFmtId="3" fontId="22" fillId="11" borderId="0" xfId="0" applyNumberFormat="1" applyFont="1" applyFill="1" applyAlignment="1">
      <alignment horizontal="left"/>
    </xf>
    <xf numFmtId="170" fontId="22" fillId="11" borderId="0" xfId="0" applyNumberFormat="1" applyFont="1" applyFill="1"/>
    <xf numFmtId="0" fontId="5" fillId="12" borderId="0" xfId="0" applyFont="1" applyFill="1" applyProtection="1">
      <protection locked="0"/>
    </xf>
    <xf numFmtId="0" fontId="1" fillId="12" borderId="0" xfId="0" applyFont="1" applyFill="1"/>
    <xf numFmtId="0" fontId="1" fillId="12" borderId="0" xfId="0" applyFont="1" applyFill="1" applyAlignment="1">
      <alignment horizontal="right" vertical="center"/>
    </xf>
    <xf numFmtId="0" fontId="24" fillId="2" borderId="0" xfId="0" applyFont="1" applyFill="1"/>
    <xf numFmtId="165" fontId="25" fillId="0" borderId="0" xfId="0" applyNumberFormat="1" applyFont="1"/>
    <xf numFmtId="0" fontId="25" fillId="0" borderId="0" xfId="0" applyFont="1" applyAlignment="1">
      <alignment horizontal="center"/>
    </xf>
    <xf numFmtId="0" fontId="23" fillId="0" borderId="0" xfId="0" applyFont="1" applyAlignment="1">
      <alignment vertical="center"/>
    </xf>
    <xf numFmtId="0" fontId="26" fillId="13" borderId="12" xfId="0" applyFont="1" applyFill="1" applyBorder="1"/>
    <xf numFmtId="0" fontId="26" fillId="14" borderId="0" xfId="0" applyFont="1" applyFill="1"/>
    <xf numFmtId="0" fontId="28" fillId="14" borderId="0" xfId="0" applyFont="1" applyFill="1" applyAlignment="1">
      <alignment horizontal="right"/>
    </xf>
    <xf numFmtId="0" fontId="27" fillId="14" borderId="0" xfId="0" applyFont="1" applyFill="1"/>
    <xf numFmtId="0" fontId="29" fillId="14" borderId="0" xfId="0" applyFont="1" applyFill="1"/>
    <xf numFmtId="0" fontId="26" fillId="14" borderId="12" xfId="0" applyFont="1" applyFill="1" applyBorder="1" applyAlignment="1">
      <alignment horizontal="right"/>
    </xf>
    <xf numFmtId="0" fontId="26" fillId="14" borderId="0" xfId="0" applyFont="1" applyFill="1" applyAlignment="1">
      <alignment horizontal="right"/>
    </xf>
    <xf numFmtId="0" fontId="26" fillId="14" borderId="13" xfId="0" applyFont="1" applyFill="1" applyBorder="1" applyAlignment="1">
      <alignment horizontal="right"/>
    </xf>
    <xf numFmtId="0" fontId="26" fillId="14" borderId="15" xfId="0" applyFont="1" applyFill="1" applyBorder="1" applyAlignment="1">
      <alignment horizontal="right"/>
    </xf>
    <xf numFmtId="164" fontId="26" fillId="13" borderId="14" xfId="0" applyNumberFormat="1" applyFont="1" applyFill="1" applyBorder="1" applyAlignment="1">
      <alignment horizontal="left"/>
    </xf>
    <xf numFmtId="164" fontId="26" fillId="13" borderId="16" xfId="0" applyNumberFormat="1" applyFont="1" applyFill="1" applyBorder="1" applyAlignment="1">
      <alignment horizontal="left"/>
    </xf>
    <xf numFmtId="171" fontId="20" fillId="4" borderId="0" xfId="0" applyNumberFormat="1" applyFont="1" applyFill="1" applyAlignment="1">
      <alignment horizontal="left"/>
    </xf>
    <xf numFmtId="0" fontId="30" fillId="12" borderId="0" xfId="0" applyFont="1" applyFill="1" applyAlignment="1">
      <alignment horizontal="left"/>
    </xf>
    <xf numFmtId="165" fontId="0" fillId="0" borderId="0" xfId="0" applyNumberFormat="1" applyAlignment="1">
      <alignment vertical="center"/>
    </xf>
    <xf numFmtId="169" fontId="0" fillId="0" borderId="0" xfId="0" applyNumberFormat="1" applyAlignment="1">
      <alignment vertical="center"/>
    </xf>
    <xf numFmtId="172" fontId="0" fillId="0" borderId="0" xfId="0" applyNumberFormat="1" applyAlignment="1">
      <alignment vertical="center"/>
    </xf>
    <xf numFmtId="165" fontId="23" fillId="0" borderId="0" xfId="0" applyNumberFormat="1" applyFont="1" applyAlignment="1">
      <alignment vertical="center"/>
    </xf>
    <xf numFmtId="171" fontId="20" fillId="4" borderId="11" xfId="0" applyNumberFormat="1" applyFont="1" applyFill="1" applyBorder="1"/>
    <xf numFmtId="0" fontId="26" fillId="13" borderId="12" xfId="0" applyFont="1" applyFill="1" applyBorder="1" applyAlignment="1">
      <alignment horizontal="left"/>
    </xf>
    <xf numFmtId="173" fontId="31" fillId="7" borderId="1" xfId="0" applyNumberFormat="1" applyFont="1" applyFill="1" applyBorder="1"/>
    <xf numFmtId="173" fontId="0" fillId="7" borderId="1" xfId="0" applyNumberFormat="1" applyFill="1" applyBorder="1"/>
    <xf numFmtId="0" fontId="16" fillId="6" borderId="0" xfId="0" applyFont="1" applyFill="1" applyAlignment="1">
      <alignment vertical="center"/>
    </xf>
    <xf numFmtId="0" fontId="18" fillId="6" borderId="0" xfId="0" applyFont="1" applyFill="1" applyAlignment="1">
      <alignment vertical="center"/>
    </xf>
    <xf numFmtId="0" fontId="17" fillId="6" borderId="0" xfId="0" applyFont="1" applyFill="1" applyAlignment="1">
      <alignment vertical="center"/>
    </xf>
    <xf numFmtId="0" fontId="9" fillId="8" borderId="2" xfId="0" applyFont="1" applyFill="1" applyBorder="1" applyAlignment="1">
      <alignment horizontal="right" vertical="center"/>
    </xf>
    <xf numFmtId="169" fontId="9" fillId="8" borderId="9" xfId="0" applyNumberFormat="1" applyFont="1" applyFill="1" applyBorder="1" applyAlignment="1">
      <alignment vertical="center"/>
    </xf>
    <xf numFmtId="0" fontId="16" fillId="6" borderId="5" xfId="0" applyFont="1" applyFill="1" applyBorder="1" applyAlignment="1">
      <alignment horizontal="right" vertical="center"/>
    </xf>
    <xf numFmtId="0" fontId="16" fillId="6" borderId="4" xfId="0" applyFont="1" applyFill="1" applyBorder="1" applyAlignment="1">
      <alignment vertical="center"/>
    </xf>
    <xf numFmtId="0" fontId="14" fillId="9" borderId="3" xfId="0" applyFont="1" applyFill="1" applyBorder="1" applyAlignment="1">
      <alignment horizontal="right" vertical="center"/>
    </xf>
    <xf numFmtId="169" fontId="14" fillId="9" borderId="10" xfId="0" applyNumberFormat="1" applyFont="1" applyFill="1" applyBorder="1" applyAlignment="1">
      <alignment vertical="center"/>
    </xf>
    <xf numFmtId="164" fontId="16" fillId="6" borderId="4" xfId="0" applyNumberFormat="1" applyFont="1" applyFill="1" applyBorder="1" applyAlignment="1">
      <alignment horizontal="left" vertical="center"/>
    </xf>
    <xf numFmtId="0" fontId="14" fillId="10" borderId="3" xfId="0" applyFont="1" applyFill="1" applyBorder="1" applyAlignment="1">
      <alignment horizontal="right" vertical="center"/>
    </xf>
    <xf numFmtId="169" fontId="14" fillId="10" borderId="10" xfId="0" applyNumberFormat="1" applyFont="1" applyFill="1" applyBorder="1" applyAlignment="1">
      <alignment vertical="center"/>
    </xf>
    <xf numFmtId="0" fontId="16" fillId="6" borderId="6" xfId="0" applyFont="1" applyFill="1" applyBorder="1" applyAlignment="1">
      <alignment horizontal="right" vertical="center"/>
    </xf>
    <xf numFmtId="0" fontId="16" fillId="15" borderId="7" xfId="0" applyFont="1" applyFill="1" applyBorder="1" applyAlignment="1">
      <alignment vertical="center"/>
    </xf>
    <xf numFmtId="0" fontId="9" fillId="8" borderId="0" xfId="0" applyFont="1" applyFill="1" applyAlignment="1">
      <alignment horizontal="right" vertical="center"/>
    </xf>
    <xf numFmtId="169" fontId="9" fillId="8" borderId="8" xfId="0" applyNumberFormat="1" applyFont="1" applyFill="1" applyBorder="1" applyAlignment="1">
      <alignment vertical="center"/>
    </xf>
    <xf numFmtId="168" fontId="0" fillId="0" borderId="0" xfId="0" applyNumberFormat="1" applyAlignment="1">
      <alignment vertical="center"/>
    </xf>
    <xf numFmtId="167" fontId="0" fillId="0" borderId="0" xfId="0" applyNumberFormat="1" applyAlignment="1">
      <alignment vertical="center"/>
    </xf>
    <xf numFmtId="0" fontId="1" fillId="0" borderId="0" xfId="0" applyFont="1" applyAlignment="1">
      <alignment vertical="center"/>
    </xf>
    <xf numFmtId="0" fontId="18" fillId="6" borderId="0" xfId="0" applyFont="1" applyFill="1" applyAlignment="1">
      <alignment horizontal="right" vertical="center"/>
    </xf>
    <xf numFmtId="0" fontId="32" fillId="10" borderId="12" xfId="0" applyFont="1" applyFill="1" applyBorder="1" applyAlignment="1">
      <alignment horizontal="left"/>
    </xf>
    <xf numFmtId="0" fontId="26" fillId="14" borderId="12" xfId="0" applyFont="1" applyFill="1" applyBorder="1" applyAlignment="1">
      <alignment horizontal="right" vertical="center"/>
    </xf>
    <xf numFmtId="0" fontId="33" fillId="14" borderId="12" xfId="0" applyFont="1" applyFill="1" applyBorder="1" applyAlignment="1">
      <alignment horizontal="right"/>
    </xf>
    <xf numFmtId="0" fontId="26" fillId="14" borderId="0" xfId="0" applyFont="1" applyFill="1" applyAlignment="1">
      <alignment horizontal="left"/>
    </xf>
    <xf numFmtId="0" fontId="33" fillId="13" borderId="12" xfId="0" applyFont="1" applyFill="1" applyBorder="1" applyAlignment="1">
      <alignment horizontal="left"/>
    </xf>
    <xf numFmtId="174" fontId="33" fillId="13" borderId="12" xfId="0" applyNumberFormat="1" applyFont="1" applyFill="1" applyBorder="1" applyAlignment="1">
      <alignment vertical="center" wrapText="1" shrinkToFit="1"/>
    </xf>
    <xf numFmtId="175" fontId="32" fillId="10" borderId="12" xfId="0" applyNumberFormat="1" applyFont="1" applyFill="1" applyBorder="1" applyAlignment="1">
      <alignment horizontal="left"/>
    </xf>
    <xf numFmtId="176" fontId="26" fillId="13" borderId="12" xfId="0" applyNumberFormat="1" applyFont="1" applyFill="1" applyBorder="1" applyAlignment="1">
      <alignment horizontal="left"/>
    </xf>
    <xf numFmtId="0" fontId="1" fillId="0" borderId="0" xfId="0" applyFont="1"/>
    <xf numFmtId="0" fontId="0" fillId="16" borderId="0" xfId="0" applyFill="1" applyAlignment="1">
      <alignment vertical="center" shrinkToFit="1"/>
    </xf>
    <xf numFmtId="0" fontId="25" fillId="0" borderId="0" xfId="0" applyFont="1"/>
  </cellXfs>
  <cellStyles count="1">
    <cellStyle name="Normal" xfId="0" builtinId="0"/>
  </cellStyles>
  <dxfs count="117">
    <dxf>
      <numFmt numFmtId="0" formatCode="General"/>
    </dxf>
    <dxf>
      <numFmt numFmtId="19" formatCode="dd/mm/yy"/>
    </dxf>
    <dxf>
      <numFmt numFmtId="19" formatCode="dd/mm/yy"/>
    </dxf>
    <dxf>
      <numFmt numFmtId="0" formatCode="General"/>
    </dxf>
    <dxf>
      <numFmt numFmtId="0" formatCode="General"/>
    </dxf>
    <dxf>
      <numFmt numFmtId="3" formatCode="#,##0"/>
      <alignment vertical="center" textRotation="0" wrapText="0" indent="0" justifyLastLine="0" shrinkToFit="0" readingOrder="0"/>
    </dxf>
    <dxf>
      <numFmt numFmtId="3" formatCode="#,##0"/>
      <alignment vertical="center" textRotation="0" wrapText="0" indent="0" justifyLastLine="0" shrinkToFit="0" readingOrder="0"/>
    </dxf>
    <dxf>
      <numFmt numFmtId="3" formatCode="#,##0"/>
      <alignment vertical="center" textRotation="0" wrapText="0" indent="0" justifyLastLine="0" shrinkToFit="0" readingOrder="0"/>
    </dxf>
    <dxf>
      <numFmt numFmtId="164" formatCode="dd\ mmm\ yyyy"/>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font>
        <color rgb="FF006100"/>
      </font>
      <fill>
        <patternFill>
          <bgColor rgb="FFC6EFCE"/>
        </patternFill>
      </fill>
    </dxf>
    <dxf>
      <font>
        <color rgb="FF820000"/>
      </font>
      <fill>
        <patternFill>
          <bgColor rgb="FFF6D6EB"/>
        </patternFill>
      </fill>
    </dxf>
    <dxf>
      <font>
        <strike val="0"/>
        <outline val="0"/>
        <shadow val="0"/>
        <u val="none"/>
        <vertAlign val="baseline"/>
        <sz val="9"/>
        <color theme="1"/>
        <name val="Calibri"/>
        <family val="2"/>
        <scheme val="minor"/>
      </font>
      <numFmt numFmtId="165" formatCode="000"/>
      <alignment horizontal="general" vertical="center" textRotation="0" wrapText="0" indent="0" justifyLastLine="0" shrinkToFit="0" readingOrder="0"/>
    </dxf>
    <dxf>
      <numFmt numFmtId="172" formatCode="[Color31]#,##0_);[Color30]\(#,##0\);"/>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alignment horizontal="center" vertical="center" textRotation="0" wrapText="0" indent="0" justifyLastLine="0" shrinkToFit="0" readingOrder="0"/>
    </dxf>
    <dxf>
      <font>
        <color theme="5" tint="-0.499984740745262"/>
      </font>
      <fill>
        <patternFill>
          <bgColor rgb="FFF4D6C4"/>
        </patternFill>
      </fill>
    </dxf>
    <dxf>
      <font>
        <color rgb="FF006100"/>
      </font>
      <fill>
        <patternFill>
          <bgColor rgb="FFC6EFCE"/>
        </patternFill>
      </fill>
    </dxf>
    <dxf>
      <font>
        <color rgb="FF006100"/>
      </font>
      <fill>
        <patternFill>
          <bgColor rgb="FFC6EFCE"/>
        </patternFill>
      </fill>
    </dxf>
    <dxf>
      <font>
        <b val="0"/>
        <i/>
        <color theme="2" tint="-0.499984740745262"/>
      </font>
      <fill>
        <patternFill>
          <bgColor theme="0" tint="-0.14996795556505021"/>
        </patternFill>
      </fill>
    </dxf>
    <dxf>
      <fill>
        <patternFill>
          <bgColor theme="5" tint="0.39994506668294322"/>
        </patternFill>
      </fill>
    </dxf>
    <dxf>
      <font>
        <color rgb="FF9C0006"/>
      </font>
      <fill>
        <patternFill>
          <bgColor rgb="FFFFC7CE"/>
        </patternFill>
      </fill>
    </dxf>
    <dxf>
      <font>
        <color rgb="FF006100"/>
      </font>
      <fill>
        <patternFill>
          <bgColor rgb="FFC6EFCE"/>
        </patternFill>
      </fill>
    </dxf>
    <dxf>
      <fill>
        <patternFill>
          <bgColor rgb="FFE6F2F0"/>
        </patternFill>
      </fill>
      <border>
        <left/>
        <right/>
        <top style="thin">
          <color rgb="FF00DBD6"/>
        </top>
        <bottom style="thin">
          <color rgb="FF00DBD6"/>
        </bottom>
        <vertical/>
        <horizontal/>
      </border>
    </dxf>
    <dxf>
      <fill>
        <patternFill>
          <bgColor rgb="FFE6F2F0"/>
        </patternFill>
      </fill>
      <border>
        <left style="thin">
          <color rgb="FF00DBD6"/>
        </left>
        <right style="thin">
          <color rgb="FF00DBD6"/>
        </right>
        <top style="thin">
          <color rgb="FF00DBD6"/>
        </top>
        <bottom style="thin">
          <color rgb="FF00DBD6"/>
        </bottom>
        <vertical/>
        <horizontal/>
      </border>
    </dxf>
    <dxf>
      <numFmt numFmtId="0" formatCode="General"/>
    </dxf>
    <dxf>
      <numFmt numFmtId="0" formatCode="General"/>
    </dxf>
    <dxf>
      <numFmt numFmtId="0" formatCode="General"/>
    </dxf>
    <dxf>
      <numFmt numFmtId="0" formatCode="General"/>
    </dxf>
    <dxf>
      <numFmt numFmtId="165" formatCode="000"/>
    </dxf>
    <dxf>
      <alignment horizontal="center" vertical="center" textRotation="0" wrapText="0" indent="0" justifyLastLine="0" shrinkToFit="0" readingOrder="0"/>
    </dxf>
    <dxf>
      <font>
        <strike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protection locked="1" hidden="0"/>
    </dxf>
    <dxf>
      <font>
        <strike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protection locked="1" hidden="0"/>
    </dxf>
    <dxf>
      <font>
        <b val="0"/>
        <i val="0"/>
        <strike val="0"/>
        <condense val="0"/>
        <extend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protection locked="1" hidden="0"/>
    </dxf>
    <dxf>
      <numFmt numFmtId="166" formatCode="[Color31]#,##0;[Color30]#,##0;0"/>
      <alignment horizontal="general" vertical="center" textRotation="0" wrapText="0" indent="0" justifyLastLine="0" shrinkToFit="0" readingOrder="0"/>
      <protection locked="1" hidden="0"/>
    </dxf>
    <dxf>
      <fill>
        <patternFill patternType="solid">
          <fgColor indexed="64"/>
          <bgColor rgb="FFF5E7ED"/>
        </patternFill>
      </fill>
      <alignment horizontal="general" vertical="center" textRotation="0" wrapText="0" indent="0" justifyLastLine="0" shrinkToFit="1" readingOrder="0"/>
      <protection locked="1" hidden="0"/>
    </dxf>
    <dxf>
      <fill>
        <patternFill patternType="solid">
          <fgColor indexed="64"/>
          <bgColor rgb="FFF5E7ED"/>
        </patternFill>
      </fill>
      <alignment horizontal="general" vertical="center" textRotation="0" wrapText="0" indent="0" justifyLastLine="0" shrinkToFit="1" readingOrder="0"/>
      <protection locked="1" hidden="0"/>
    </dxf>
    <dxf>
      <numFmt numFmtId="3" formatCode="#,##0"/>
      <alignment horizontal="general" vertical="center" textRotation="0" wrapText="0" indent="0" justifyLastLine="0" shrinkToFit="0" readingOrder="0"/>
      <protection locked="1" hidden="0"/>
    </dxf>
    <dxf>
      <numFmt numFmtId="0" formatCode="General"/>
      <alignment horizontal="general" vertical="center" textRotation="0" wrapText="0" indent="0" justifyLastLine="0" shrinkToFit="1"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alignment horizontal="general" vertical="center" textRotation="0" wrapText="0" indent="0" justifyLastLine="0" shrinkToFit="1" readingOrder="0"/>
    </dxf>
    <dxf>
      <alignment horizontal="general" vertical="center" textRotation="0" wrapText="0" indent="0" justifyLastLine="0" shrinkToFit="1" readingOrder="0"/>
      <protection locked="1" hidden="0"/>
    </dxf>
    <dxf>
      <alignment horizontal="general" vertical="center" textRotation="0" wrapText="0" indent="0" justifyLastLine="0" shrinkToFit="1" readingOrder="0"/>
      <protection locked="1" hidden="0"/>
    </dxf>
    <dxf>
      <numFmt numFmtId="164" formatCode="dd\ mmm\ yyyy"/>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center" vertical="center" textRotation="0" wrapText="0" indent="0" justifyLastLine="0" shrinkToFit="0" readingOrder="0"/>
    </dxf>
    <dxf>
      <fill>
        <patternFill>
          <bgColor rgb="FFF3D1E8"/>
        </patternFill>
      </fill>
    </dxf>
    <dxf>
      <font>
        <color rgb="FF006666"/>
      </font>
      <fill>
        <patternFill>
          <bgColor rgb="FFE3F5EF"/>
        </patternFill>
      </fill>
    </dxf>
    <dxf>
      <font>
        <color rgb="FF006666"/>
      </font>
      <fill>
        <patternFill>
          <bgColor rgb="FFE3F5EF"/>
        </patternFill>
      </fill>
    </dxf>
    <dxf>
      <font>
        <color rgb="FF006666"/>
      </font>
      <fill>
        <patternFill>
          <bgColor rgb="FFE3F5EF"/>
        </patternFill>
      </fill>
    </dxf>
    <dxf>
      <fill>
        <patternFill>
          <bgColor rgb="FFE3F5EF"/>
        </patternFill>
      </fill>
    </dxf>
    <dxf>
      <font>
        <color auto="1"/>
      </font>
      <fill>
        <patternFill>
          <bgColor rgb="FFF3D1E8"/>
        </patternFill>
      </fill>
    </dxf>
    <dxf>
      <fill>
        <patternFill>
          <bgColor rgb="FFE3F5EF"/>
        </patternFill>
      </fill>
    </dxf>
    <dxf>
      <fill>
        <patternFill>
          <bgColor rgb="FFF3D1E8"/>
        </patternFill>
      </fill>
    </dxf>
    <dxf>
      <fill>
        <patternFill>
          <bgColor rgb="FFE3F5EF"/>
        </patternFill>
      </fill>
    </dxf>
    <dxf>
      <font>
        <color rgb="FF9C0006"/>
      </font>
      <fill>
        <patternFill>
          <bgColor rgb="FFF4E4EB"/>
        </patternFill>
      </fill>
    </dxf>
    <dxf>
      <font>
        <color rgb="FF006100"/>
      </font>
      <fill>
        <patternFill>
          <bgColor rgb="FFE3F5EF"/>
        </patternFill>
      </fil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165" formatCode="000"/>
    </dxf>
    <dxf>
      <font>
        <strike val="0"/>
        <outline val="0"/>
        <shadow val="0"/>
        <u val="none"/>
        <vertAlign val="baseline"/>
        <sz val="12"/>
        <color theme="1"/>
        <name val="Calibri"/>
        <family val="2"/>
        <scheme val="minor"/>
      </font>
    </dxf>
    <dxf>
      <alignment horizontal="center" vertical="center" textRotation="0" wrapText="0" indent="0" justifyLastLine="0" shrinkToFit="0" readingOrder="0"/>
    </dxf>
    <dxf>
      <font>
        <color rgb="FF9C0006"/>
      </font>
      <fill>
        <patternFill>
          <bgColor rgb="FFFFC7CE"/>
        </patternFill>
      </fill>
    </dxf>
    <dxf>
      <font>
        <color theme="1" tint="0.34998626667073579"/>
      </font>
      <fill>
        <patternFill>
          <bgColor theme="0" tint="-0.14996795556505021"/>
        </patternFill>
      </fill>
    </dxf>
    <dxf>
      <font>
        <b val="0"/>
        <i/>
        <color theme="5" tint="-0.499984740745262"/>
      </font>
    </dxf>
    <dxf>
      <numFmt numFmtId="0" formatCode="General"/>
    </dxf>
    <dxf>
      <numFmt numFmtId="0" formatCode="General"/>
    </dxf>
    <dxf>
      <numFmt numFmtId="0" formatCode="General"/>
    </dxf>
    <dxf>
      <numFmt numFmtId="165" formatCode="000"/>
    </dxf>
    <dxf>
      <alignment horizontal="center" vertical="center" textRotation="0" wrapText="0" indent="0" justifyLastLine="0" shrinkToFit="0" readingOrder="0"/>
    </dxf>
    <dxf>
      <font>
        <color rgb="FF006100"/>
      </font>
      <fill>
        <patternFill>
          <bgColor rgb="FFC6EFCE"/>
        </patternFill>
      </fill>
    </dxf>
    <dxf>
      <font>
        <color rgb="FF006100"/>
      </font>
      <fill>
        <patternFill>
          <bgColor rgb="FFC6EFCE"/>
        </patternFill>
      </fill>
    </dxf>
    <dxf>
      <fill>
        <patternFill>
          <bgColor rgb="FFD4D1B0"/>
        </patternFill>
      </fill>
    </dxf>
    <dxf>
      <font>
        <b/>
        <i val="0"/>
        <color rgb="FFE9F8BA"/>
      </font>
      <fill>
        <patternFill>
          <bgColor rgb="FF728F4F"/>
        </patternFill>
      </fill>
    </dxf>
    <dxf>
      <font>
        <b/>
        <i val="0"/>
        <color rgb="FFECF9C3"/>
      </font>
      <fill>
        <patternFill>
          <bgColor rgb="FF4B5F27"/>
        </patternFill>
      </fill>
    </dxf>
    <dxf>
      <fill>
        <patternFill>
          <bgColor rgb="FFE8E3D4"/>
        </patternFill>
      </fill>
      <border>
        <left style="thin">
          <color rgb="FFA1C674"/>
        </left>
        <right style="thin">
          <color rgb="FFA1C674"/>
        </right>
        <top style="thin">
          <color rgb="FFA1C674"/>
        </top>
        <bottom style="thin">
          <color rgb="FFA1C674"/>
        </bottom>
        <vertical style="thin">
          <color rgb="FFA1C674"/>
        </vertical>
        <horizontal style="thin">
          <color rgb="FFA1C674"/>
        </horizontal>
      </border>
    </dxf>
    <dxf>
      <fill>
        <patternFill>
          <bgColor rgb="FFF7D9EA"/>
        </patternFill>
      </fill>
    </dxf>
    <dxf>
      <font>
        <b/>
        <i val="0"/>
        <color rgb="FFF6D2E7"/>
      </font>
      <fill>
        <patternFill>
          <bgColor rgb="FF9B3F76"/>
        </patternFill>
      </fill>
    </dxf>
    <dxf>
      <font>
        <b/>
        <i val="0"/>
        <color rgb="FFFCE4F7"/>
      </font>
      <fill>
        <patternFill>
          <bgColor rgb="FF8A1A5A"/>
        </patternFill>
      </fill>
    </dxf>
    <dxf>
      <fill>
        <patternFill>
          <bgColor rgb="FFFDEDF3"/>
        </patternFill>
      </fill>
      <border>
        <left style="thin">
          <color rgb="FFDEACCD"/>
        </left>
        <right style="thin">
          <color rgb="FFDEACCD"/>
        </right>
        <top style="thin">
          <color rgb="FFDEACCD"/>
        </top>
        <bottom style="thin">
          <color rgb="FFDEACCD"/>
        </bottom>
        <vertical style="thin">
          <color rgb="FFDEACCD"/>
        </vertical>
        <horizontal style="thin">
          <color rgb="FFDEACCD"/>
        </horizontal>
      </border>
    </dxf>
    <dxf>
      <fill>
        <patternFill>
          <bgColor rgb="FFEFC4F2"/>
        </patternFill>
      </fill>
    </dxf>
    <dxf>
      <font>
        <b/>
        <i val="0"/>
        <color rgb="FFF2E7FD"/>
      </font>
      <fill>
        <patternFill>
          <bgColor rgb="FFAA72C0"/>
        </patternFill>
      </fill>
    </dxf>
    <dxf>
      <font>
        <b/>
        <i val="0"/>
        <color rgb="FFEFC4F2"/>
      </font>
      <fill>
        <patternFill>
          <bgColor rgb="FF9850B8"/>
        </patternFill>
      </fill>
    </dxf>
    <dxf>
      <fill>
        <patternFill>
          <bgColor rgb="FFF2E7FD"/>
        </patternFill>
      </fill>
      <border>
        <left style="thin">
          <color rgb="FFAE7BCB"/>
        </left>
        <right style="thin">
          <color rgb="FFAE7BCB"/>
        </right>
        <top style="thin">
          <color rgb="FFAE7BCB"/>
        </top>
        <bottom style="thin">
          <color rgb="FFAE7BCB"/>
        </bottom>
        <vertical style="thin">
          <color rgb="FFAE7BCB"/>
        </vertical>
        <horizontal style="thin">
          <color rgb="FFAE7BCB"/>
        </horizontal>
      </border>
    </dxf>
    <dxf>
      <fill>
        <patternFill>
          <bgColor rgb="FFBFDFDC"/>
        </patternFill>
      </fill>
    </dxf>
    <dxf>
      <font>
        <b/>
        <i val="0"/>
        <color rgb="FF6EE0CA"/>
      </font>
      <fill>
        <patternFill>
          <bgColor rgb="FF498383"/>
        </patternFill>
      </fill>
    </dxf>
    <dxf>
      <font>
        <b/>
        <i val="0"/>
        <color rgb="FF6EE0CA"/>
      </font>
      <fill>
        <patternFill>
          <bgColor rgb="FF20604F"/>
        </patternFill>
      </fill>
    </dxf>
    <dxf>
      <fill>
        <patternFill>
          <bgColor rgb="FFD7F5EF"/>
        </patternFill>
      </fill>
      <border>
        <left style="thin">
          <color rgb="FF6EE0CA"/>
        </left>
        <right style="thin">
          <color rgb="FF6EE0CA"/>
        </right>
        <top style="thin">
          <color rgb="FF6EE0CA"/>
        </top>
        <bottom style="thin">
          <color rgb="FF6EE0CA"/>
        </bottom>
        <vertical style="thin">
          <color rgb="FF6EE0CA"/>
        </vertical>
        <horizontal style="thin">
          <color rgb="FF6EE0CA"/>
        </horizontal>
      </border>
    </dxf>
  </dxfs>
  <tableStyles count="4" defaultTableStyle="TableStyleMedium2" defaultPivotStyle="PivotStyleLight16">
    <tableStyle name="MyGreen" pivot="0" count="4" xr9:uid="{CC65B23C-FB74-4DF8-B941-A15B2B917BA5}">
      <tableStyleElement type="wholeTable" dxfId="116"/>
      <tableStyleElement type="headerRow" dxfId="115"/>
      <tableStyleElement type="totalRow" dxfId="114"/>
      <tableStyleElement type="secondRowStripe" dxfId="113"/>
    </tableStyle>
    <tableStyle name="MyPurple" pivot="0" count="4" xr9:uid="{5A84F285-6009-4D2D-A499-84D3135770F8}">
      <tableStyleElement type="wholeTable" dxfId="112"/>
      <tableStyleElement type="headerRow" dxfId="111"/>
      <tableStyleElement type="totalRow" dxfId="110"/>
      <tableStyleElement type="secondRowStripe" dxfId="109"/>
    </tableStyle>
    <tableStyle name="MyRed" pivot="0" count="4" xr9:uid="{A659324A-B02A-4DCB-9C66-001AB1AE3EF8}">
      <tableStyleElement type="wholeTable" dxfId="108"/>
      <tableStyleElement type="headerRow" dxfId="107"/>
      <tableStyleElement type="totalRow" dxfId="106"/>
      <tableStyleElement type="secondRowStripe" dxfId="105"/>
    </tableStyle>
    <tableStyle name="MyYellow" pivot="0" count="4" xr9:uid="{C209E02F-AFCA-4E1D-922A-B7F3F6374B78}">
      <tableStyleElement type="wholeTable" dxfId="104"/>
      <tableStyleElement type="headerRow" dxfId="103"/>
      <tableStyleElement type="totalRow" dxfId="102"/>
      <tableStyleElement type="secondRowStripe" dxfId="101"/>
    </tableStyle>
  </tableStyles>
  <colors>
    <mruColors>
      <color rgb="FFF5E7ED"/>
      <color rgb="FFF8EEF2"/>
      <color rgb="FFF3D1E8"/>
      <color rgb="FFE3F5EF"/>
      <color rgb="FFCEE4E0"/>
      <color rgb="FF820000"/>
      <color rgb="FFF6D6EB"/>
      <color rgb="FFF4D6C4"/>
      <color rgb="FFECB898"/>
      <color rgb="FFF8EC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17/06/relationships/rdRichValueTypes" Target="richData/rdRichValueTypes.xml"/></Relationships>
</file>

<file path=xl/drawings/drawing1.xml><?xml version="1.0" encoding="utf-8"?>
<xdr:wsDr xmlns:xdr="http://schemas.openxmlformats.org/drawingml/2006/spreadsheetDrawing" xmlns:a="http://schemas.openxmlformats.org/drawingml/2006/main">
  <xdr:twoCellAnchor editAs="oneCell">
    <xdr:from>
      <xdr:col>2</xdr:col>
      <xdr:colOff>3178</xdr:colOff>
      <xdr:row>19</xdr:row>
      <xdr:rowOff>85724</xdr:rowOff>
    </xdr:from>
    <xdr:to>
      <xdr:col>2</xdr:col>
      <xdr:colOff>874599</xdr:colOff>
      <xdr:row>20</xdr:row>
      <xdr:rowOff>122895</xdr:rowOff>
    </xdr:to>
    <xdr:sp macro="[0]!RefreshLicense" textlink="">
      <xdr:nvSpPr>
        <xdr:cNvPr id="2" name="Rectangle 1">
          <a:extLst>
            <a:ext uri="{FF2B5EF4-FFF2-40B4-BE49-F238E27FC236}">
              <a16:creationId xmlns:a16="http://schemas.microsoft.com/office/drawing/2014/main" id="{3CBF7957-D842-653D-50E4-5135540FB491}"/>
            </a:ext>
          </a:extLst>
        </xdr:cNvPr>
        <xdr:cNvSpPr/>
      </xdr:nvSpPr>
      <xdr:spPr>
        <a:xfrm>
          <a:off x="987428" y="2994024"/>
          <a:ext cx="871421" cy="20227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800" b="1"/>
            <a:t>Refresh License</a:t>
          </a:r>
        </a:p>
      </xdr:txBody>
    </xdr:sp>
    <xdr:clientData fPrintsWithSheet="0"/>
  </xdr:twoCellAnchor>
  <xdr:twoCellAnchor>
    <xdr:from>
      <xdr:col>2</xdr:col>
      <xdr:colOff>5329238</xdr:colOff>
      <xdr:row>3</xdr:row>
      <xdr:rowOff>52389</xdr:rowOff>
    </xdr:from>
    <xdr:to>
      <xdr:col>2</xdr:col>
      <xdr:colOff>6438901</xdr:colOff>
      <xdr:row>4</xdr:row>
      <xdr:rowOff>95252</xdr:rowOff>
    </xdr:to>
    <xdr:sp macro="[0]!SynchronizeData" textlink="">
      <xdr:nvSpPr>
        <xdr:cNvPr id="3" name="Rectangle 2">
          <a:extLst>
            <a:ext uri="{FF2B5EF4-FFF2-40B4-BE49-F238E27FC236}">
              <a16:creationId xmlns:a16="http://schemas.microsoft.com/office/drawing/2014/main" id="{3E01BF92-905F-D3C7-6598-194044243446}"/>
            </a:ext>
          </a:extLst>
        </xdr:cNvPr>
        <xdr:cNvSpPr/>
      </xdr:nvSpPr>
      <xdr:spPr>
        <a:xfrm>
          <a:off x="6272213" y="642939"/>
          <a:ext cx="1109663" cy="204788"/>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900"/>
            <a:t>Synchronize</a:t>
          </a:r>
          <a:r>
            <a:rPr lang="en-US" sz="900" baseline="0"/>
            <a:t> Data</a:t>
          </a:r>
          <a:endParaRPr lang="en-US" sz="9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4835769</xdr:colOff>
      <xdr:row>1</xdr:row>
      <xdr:rowOff>21980</xdr:rowOff>
    </xdr:from>
    <xdr:to>
      <xdr:col>3</xdr:col>
      <xdr:colOff>5854944</xdr:colOff>
      <xdr:row>2</xdr:row>
      <xdr:rowOff>108438</xdr:rowOff>
    </xdr:to>
    <xdr:sp macro="[0]!sh_batch.SyncBatch" textlink="">
      <xdr:nvSpPr>
        <xdr:cNvPr id="2" name="Rectangle 1">
          <a:extLst>
            <a:ext uri="{FF2B5EF4-FFF2-40B4-BE49-F238E27FC236}">
              <a16:creationId xmlns:a16="http://schemas.microsoft.com/office/drawing/2014/main" id="{16670E02-69BC-4037-892E-34F286C0F662}"/>
            </a:ext>
          </a:extLst>
        </xdr:cNvPr>
        <xdr:cNvSpPr/>
      </xdr:nvSpPr>
      <xdr:spPr>
        <a:xfrm>
          <a:off x="6850673" y="58615"/>
          <a:ext cx="1019175" cy="2476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Synchronize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945642</xdr:colOff>
      <xdr:row>1</xdr:row>
      <xdr:rowOff>15986</xdr:rowOff>
    </xdr:from>
    <xdr:to>
      <xdr:col>18</xdr:col>
      <xdr:colOff>428483</xdr:colOff>
      <xdr:row>2</xdr:row>
      <xdr:rowOff>183173</xdr:rowOff>
    </xdr:to>
    <mc:AlternateContent xmlns:mc="http://schemas.openxmlformats.org/markup-compatibility/2006" xmlns:sle15="http://schemas.microsoft.com/office/drawing/2012/slicer">
      <mc:Choice Requires="sle15">
        <xdr:graphicFrame macro="">
          <xdr:nvGraphicFramePr>
            <xdr:cNvPr id="2" name="Head">
              <a:extLst>
                <a:ext uri="{FF2B5EF4-FFF2-40B4-BE49-F238E27FC236}">
                  <a16:creationId xmlns:a16="http://schemas.microsoft.com/office/drawing/2014/main" id="{4E3AF011-E762-84F2-543C-16F71A266B6B}"/>
                </a:ext>
              </a:extLst>
            </xdr:cNvPr>
            <xdr:cNvGraphicFramePr/>
          </xdr:nvGraphicFramePr>
          <xdr:xfrm>
            <a:off x="0" y="0"/>
            <a:ext cx="0" cy="0"/>
          </xdr:xfrm>
          <a:graphic>
            <a:graphicData uri="http://schemas.microsoft.com/office/drawing/2010/slicer">
              <sle:slicer xmlns:sle="http://schemas.microsoft.com/office/drawing/2010/slicer" name="Head"/>
            </a:graphicData>
          </a:graphic>
        </xdr:graphicFrame>
      </mc:Choice>
      <mc:Fallback xmlns="">
        <xdr:sp macro="" textlink="">
          <xdr:nvSpPr>
            <xdr:cNvPr id="0" name=""/>
            <xdr:cNvSpPr>
              <a:spLocks noTextEdit="1"/>
            </xdr:cNvSpPr>
          </xdr:nvSpPr>
          <xdr:spPr>
            <a:xfrm>
              <a:off x="12436256" y="50622"/>
              <a:ext cx="5895043" cy="36634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xdr:twoCellAnchor>
    <xdr:from>
      <xdr:col>5</xdr:col>
      <xdr:colOff>9525</xdr:colOff>
      <xdr:row>1</xdr:row>
      <xdr:rowOff>0</xdr:rowOff>
    </xdr:from>
    <xdr:to>
      <xdr:col>5</xdr:col>
      <xdr:colOff>1028700</xdr:colOff>
      <xdr:row>2</xdr:row>
      <xdr:rowOff>47625</xdr:rowOff>
    </xdr:to>
    <xdr:sp macro="[0]!sh_coa.SyncCoa" textlink="">
      <xdr:nvSpPr>
        <xdr:cNvPr id="3" name="Rectangle 2">
          <a:extLst>
            <a:ext uri="{FF2B5EF4-FFF2-40B4-BE49-F238E27FC236}">
              <a16:creationId xmlns:a16="http://schemas.microsoft.com/office/drawing/2014/main" id="{9A083089-9139-359D-A1DD-4856C3D68818}"/>
            </a:ext>
          </a:extLst>
        </xdr:cNvPr>
        <xdr:cNvSpPr/>
      </xdr:nvSpPr>
      <xdr:spPr>
        <a:xfrm>
          <a:off x="3362325" y="38100"/>
          <a:ext cx="1019175" cy="2476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Synchronize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187168</xdr:colOff>
      <xdr:row>1</xdr:row>
      <xdr:rowOff>9522</xdr:rowOff>
    </xdr:from>
    <xdr:to>
      <xdr:col>5</xdr:col>
      <xdr:colOff>806294</xdr:colOff>
      <xdr:row>2</xdr:row>
      <xdr:rowOff>55559</xdr:rowOff>
    </xdr:to>
    <xdr:sp macro="[0]!sh_gj.SetBorder" textlink="">
      <xdr:nvSpPr>
        <xdr:cNvPr id="2" name="Rectangle 1">
          <a:extLst>
            <a:ext uri="{FF2B5EF4-FFF2-40B4-BE49-F238E27FC236}">
              <a16:creationId xmlns:a16="http://schemas.microsoft.com/office/drawing/2014/main" id="{42A78F2E-D862-2872-2BC9-C45D42E18621}"/>
            </a:ext>
          </a:extLst>
        </xdr:cNvPr>
        <xdr:cNvSpPr/>
      </xdr:nvSpPr>
      <xdr:spPr>
        <a:xfrm>
          <a:off x="2981168" y="49210"/>
          <a:ext cx="619126" cy="204787"/>
        </a:xfrm>
        <a:prstGeom prst="rect">
          <a:avLst/>
        </a:prstGeom>
        <a:solidFill>
          <a:schemeClr val="accent2">
            <a:lumMod val="40000"/>
            <a:lumOff val="60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border</a:t>
          </a:r>
        </a:p>
      </xdr:txBody>
    </xdr:sp>
    <xdr:clientData fPrintsWithSheet="0"/>
  </xdr:twoCellAnchor>
  <xdr:twoCellAnchor editAs="absolute">
    <xdr:from>
      <xdr:col>5</xdr:col>
      <xdr:colOff>2156132</xdr:colOff>
      <xdr:row>1</xdr:row>
      <xdr:rowOff>11110</xdr:rowOff>
    </xdr:from>
    <xdr:to>
      <xdr:col>5</xdr:col>
      <xdr:colOff>2775258</xdr:colOff>
      <xdr:row>2</xdr:row>
      <xdr:rowOff>57147</xdr:rowOff>
    </xdr:to>
    <xdr:sp macro="[0]!sh_gj.AddRows" textlink="">
      <xdr:nvSpPr>
        <xdr:cNvPr id="3" name="Rectangle 2">
          <a:extLst>
            <a:ext uri="{FF2B5EF4-FFF2-40B4-BE49-F238E27FC236}">
              <a16:creationId xmlns:a16="http://schemas.microsoft.com/office/drawing/2014/main" id="{8304DAE7-ADE9-689F-E1F3-0910F6AB99C9}"/>
            </a:ext>
          </a:extLst>
        </xdr:cNvPr>
        <xdr:cNvSpPr/>
      </xdr:nvSpPr>
      <xdr:spPr>
        <a:xfrm>
          <a:off x="4951266" y="50798"/>
          <a:ext cx="619126" cy="204787"/>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addrow</a:t>
          </a:r>
        </a:p>
      </xdr:txBody>
    </xdr:sp>
    <xdr:clientData fPrintsWithSheet="0"/>
  </xdr:twoCellAnchor>
  <xdr:twoCellAnchor editAs="absolute">
    <xdr:from>
      <xdr:col>5</xdr:col>
      <xdr:colOff>1165679</xdr:colOff>
      <xdr:row>1</xdr:row>
      <xdr:rowOff>12697</xdr:rowOff>
    </xdr:from>
    <xdr:to>
      <xdr:col>5</xdr:col>
      <xdr:colOff>2062471</xdr:colOff>
      <xdr:row>2</xdr:row>
      <xdr:rowOff>58734</xdr:rowOff>
    </xdr:to>
    <xdr:sp macro="[0]!sh_gj.EnableDisableBgChecking" textlink="">
      <xdr:nvSpPr>
        <xdr:cNvPr id="4" name="Rectangle 3">
          <a:extLst>
            <a:ext uri="{FF2B5EF4-FFF2-40B4-BE49-F238E27FC236}">
              <a16:creationId xmlns:a16="http://schemas.microsoft.com/office/drawing/2014/main" id="{45639B9B-D308-0A74-A44D-85A7E1C5BB48}"/>
            </a:ext>
          </a:extLst>
        </xdr:cNvPr>
        <xdr:cNvSpPr/>
      </xdr:nvSpPr>
      <xdr:spPr>
        <a:xfrm>
          <a:off x="3960813" y="52385"/>
          <a:ext cx="896792" cy="204787"/>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bgChecking</a:t>
          </a:r>
        </a:p>
      </xdr:txBody>
    </xdr:sp>
    <xdr:clientData fPrintsWithSheet="0"/>
  </xdr:twoCellAnchor>
  <xdr:twoCellAnchor editAs="absolute">
    <xdr:from>
      <xdr:col>5</xdr:col>
      <xdr:colOff>7203583</xdr:colOff>
      <xdr:row>1</xdr:row>
      <xdr:rowOff>2317</xdr:rowOff>
    </xdr:from>
    <xdr:to>
      <xdr:col>5</xdr:col>
      <xdr:colOff>7955146</xdr:colOff>
      <xdr:row>2</xdr:row>
      <xdr:rowOff>48354</xdr:rowOff>
    </xdr:to>
    <xdr:sp macro="[0]!sh_gj.F1keyInfo" textlink="">
      <xdr:nvSpPr>
        <xdr:cNvPr id="5" name="Rectangle 4">
          <a:extLst>
            <a:ext uri="{FF2B5EF4-FFF2-40B4-BE49-F238E27FC236}">
              <a16:creationId xmlns:a16="http://schemas.microsoft.com/office/drawing/2014/main" id="{54626F1A-7DF3-2DA4-C00A-1EF7F67B1DD5}"/>
            </a:ext>
          </a:extLst>
        </xdr:cNvPr>
        <xdr:cNvSpPr/>
      </xdr:nvSpPr>
      <xdr:spPr>
        <a:xfrm>
          <a:off x="9995141" y="38952"/>
          <a:ext cx="751563" cy="207229"/>
        </a:xfrm>
        <a:prstGeom prst="rect">
          <a:avLst/>
        </a:prstGeom>
        <a:solidFill>
          <a:schemeClr val="accent4">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800" b="1"/>
            <a:t>F1 Key Info</a:t>
          </a:r>
        </a:p>
      </xdr:txBody>
    </xdr:sp>
    <xdr:clientData fPrintsWithSheet="0"/>
  </xdr:twoCellAnchor>
  <xdr:twoCellAnchor editAs="absolute">
    <xdr:from>
      <xdr:col>5</xdr:col>
      <xdr:colOff>3187763</xdr:colOff>
      <xdr:row>1</xdr:row>
      <xdr:rowOff>9644</xdr:rowOff>
    </xdr:from>
    <xdr:to>
      <xdr:col>5</xdr:col>
      <xdr:colOff>3806889</xdr:colOff>
      <xdr:row>2</xdr:row>
      <xdr:rowOff>55681</xdr:rowOff>
    </xdr:to>
    <xdr:sp macro="[0]!sh_gj.BoostMode" textlink="">
      <xdr:nvSpPr>
        <xdr:cNvPr id="6" name="Rectangle 5">
          <a:extLst>
            <a:ext uri="{FF2B5EF4-FFF2-40B4-BE49-F238E27FC236}">
              <a16:creationId xmlns:a16="http://schemas.microsoft.com/office/drawing/2014/main" id="{1D23EB3C-1D3B-90D9-3B35-DBBF4E1C6BEC}"/>
            </a:ext>
          </a:extLst>
        </xdr:cNvPr>
        <xdr:cNvSpPr/>
      </xdr:nvSpPr>
      <xdr:spPr>
        <a:xfrm>
          <a:off x="5979321" y="46279"/>
          <a:ext cx="619126" cy="207229"/>
        </a:xfrm>
        <a:prstGeom prst="rect">
          <a:avLst/>
        </a:prstGeom>
        <a:solidFill>
          <a:schemeClr val="accent4">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boost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77391</xdr:colOff>
      <xdr:row>0</xdr:row>
      <xdr:rowOff>17859</xdr:rowOff>
    </xdr:from>
    <xdr:to>
      <xdr:col>7</xdr:col>
      <xdr:colOff>694135</xdr:colOff>
      <xdr:row>2</xdr:row>
      <xdr:rowOff>170258</xdr:rowOff>
    </xdr:to>
    <mc:AlternateContent xmlns:mc="http://schemas.openxmlformats.org/markup-compatibility/2006" xmlns:sle15="http://schemas.microsoft.com/office/drawing/2012/slicer">
      <mc:Choice Requires="sle15">
        <xdr:graphicFrame macro="">
          <xdr:nvGraphicFramePr>
            <xdr:cNvPr id="2" name="Group">
              <a:extLst>
                <a:ext uri="{FF2B5EF4-FFF2-40B4-BE49-F238E27FC236}">
                  <a16:creationId xmlns:a16="http://schemas.microsoft.com/office/drawing/2014/main" id="{4F7E61E9-482E-C444-9729-EA0B7E7A3AF9}"/>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8560594" y="17859"/>
              <a:ext cx="2009775" cy="37861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4</xdr:col>
      <xdr:colOff>21980</xdr:colOff>
      <xdr:row>0</xdr:row>
      <xdr:rowOff>29308</xdr:rowOff>
    </xdr:from>
    <xdr:to>
      <xdr:col>4</xdr:col>
      <xdr:colOff>1041155</xdr:colOff>
      <xdr:row>2</xdr:row>
      <xdr:rowOff>49823</xdr:rowOff>
    </xdr:to>
    <xdr:sp macro="[0]!sh_cos.SyncCos" textlink="">
      <xdr:nvSpPr>
        <xdr:cNvPr id="3" name="Rectangle 2">
          <a:extLst>
            <a:ext uri="{FF2B5EF4-FFF2-40B4-BE49-F238E27FC236}">
              <a16:creationId xmlns:a16="http://schemas.microsoft.com/office/drawing/2014/main" id="{1A695B66-8692-4B71-9348-F8E2F9BD47D2}"/>
            </a:ext>
          </a:extLst>
        </xdr:cNvPr>
        <xdr:cNvSpPr/>
      </xdr:nvSpPr>
      <xdr:spPr>
        <a:xfrm>
          <a:off x="2154115" y="29308"/>
          <a:ext cx="1019175" cy="2476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Synchronize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684069</xdr:colOff>
      <xdr:row>1</xdr:row>
      <xdr:rowOff>17317</xdr:rowOff>
    </xdr:from>
    <xdr:to>
      <xdr:col>8</xdr:col>
      <xdr:colOff>0</xdr:colOff>
      <xdr:row>2</xdr:row>
      <xdr:rowOff>69272</xdr:rowOff>
    </xdr:to>
    <xdr:sp macro="[0]!sh_tb.SyncTBwithCoa" textlink="">
      <xdr:nvSpPr>
        <xdr:cNvPr id="2" name="Rectangle 1">
          <a:extLst>
            <a:ext uri="{FF2B5EF4-FFF2-40B4-BE49-F238E27FC236}">
              <a16:creationId xmlns:a16="http://schemas.microsoft.com/office/drawing/2014/main" id="{EF02EDA4-0ED1-22A5-F850-9001474B4CE7}"/>
            </a:ext>
          </a:extLst>
        </xdr:cNvPr>
        <xdr:cNvSpPr/>
      </xdr:nvSpPr>
      <xdr:spPr>
        <a:xfrm>
          <a:off x="7775864" y="51953"/>
          <a:ext cx="1047750" cy="2424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SyncWithCoa</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9" xr16:uid="{149D6C36-15AE-446C-92B7-607128EFEE8D}" autoFormatId="16" applyNumberFormats="0" applyBorderFormats="0" applyFontFormats="0" applyPatternFormats="0" applyAlignmentFormats="0" applyWidthHeightFormats="0">
  <queryTableRefresh nextId="11">
    <queryTableFields count="8">
      <queryTableField id="1" name="#" tableColumnId="1"/>
      <queryTableField id="2" name="Code" tableColumnId="2"/>
      <queryTableField id="3" name="Name" tableColumnId="3"/>
      <queryTableField id="4" name="Type" tableColumnId="4"/>
      <queryTableField id="5" name="Report" tableColumnId="5"/>
      <queryTableField id="6" name="IsCF" tableColumnId="6"/>
      <queryTableField id="9" name="Column7" tableColumnId="7"/>
      <queryTableField id="10" name="note: batch dengan kode &quot;tax&quot; harus di input untuk jurnal koreksi fiskal"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0" xr16:uid="{110CD09F-B87C-4835-B256-EAD06D044962}" autoFormatId="16" applyNumberFormats="0" applyBorderFormats="0" applyFontFormats="0" applyPatternFormats="0" applyAlignmentFormats="0" applyWidthHeightFormats="0">
  <queryTableRefresh nextId="33">
    <queryTableFields count="18">
      <queryTableField id="1" name="#" tableColumnId="1"/>
      <queryTableField id="2" name="Number" tableColumnId="2"/>
      <queryTableField id="3" name="Code" tableColumnId="3"/>
      <queryTableField id="29" name="Tax" tableColumnId="15"/>
      <queryTableField id="20" name="Ori Name" tableColumnId="18"/>
      <queryTableField id="4" name="Account Name" tableColumnId="4"/>
      <queryTableField id="5" name="Norm" tableColumnId="5"/>
      <queryTableField id="6" name="Contra" tableColumnId="6"/>
      <queryTableField id="7" name="Status" tableColumnId="7"/>
      <queryTableField id="8" name="Head" tableColumnId="8"/>
      <queryTableField id="9" name="Group" tableColumnId="9"/>
      <queryTableField id="10" name="Sgroup" tableColumnId="10"/>
      <queryTableField id="11" name="Rep" tableColumnId="11"/>
      <queryTableField id="31" name="Cf" tableColumnId="17"/>
      <queryTableField id="24" name="CosGr" tableColumnId="12"/>
      <queryTableField id="25" name="CosNum" tableColumnId="13"/>
      <queryTableField id="17" name="Zero" tableColumnId="16"/>
      <queryTableField id="14" name="Remarks"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1" xr16:uid="{F9298912-D024-4506-B515-DCA3578332AB}" autoFormatId="16" applyNumberFormats="0" applyBorderFormats="0" applyFontFormats="0" applyPatternFormats="0" applyAlignmentFormats="0" applyWidthHeightFormats="0">
  <queryTableRefresh nextId="10">
    <queryTableFields count="7">
      <queryTableField id="1" name="#" tableColumnId="1"/>
      <queryTableField id="7" name="Number" tableColumnId="7"/>
      <queryTableField id="3" name="Code" tableColumnId="3"/>
      <queryTableField id="4" name="Account Name" tableColumnId="4"/>
      <queryTableField id="5" name="Group" tableColumnId="5"/>
      <queryTableField id="6" name="Status" tableColumnId="6"/>
      <queryTableField id="9" name="Head"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287DAB8D-4FC1-44A9-8C59-589A3F470D7F}" autoFormatId="16" applyNumberFormats="0" applyBorderFormats="0" applyFontFormats="0" applyPatternFormats="0" applyAlignmentFormats="0" applyWidthHeightFormats="0">
  <queryTableRefresh nextId="2">
    <queryTableFields count="1">
      <queryTableField id="1" name="cfgCompName"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3E319240-CB8E-46DF-8104-EFA379EB6BB0}" autoFormatId="16" applyNumberFormats="0" applyBorderFormats="0" applyFontFormats="0" applyPatternFormats="0" applyAlignmentFormats="0" applyWidthHeightFormats="0">
  <queryTableRefresh nextId="2">
    <queryTableFields count="1">
      <queryTableField id="1" name="cfgCompAdrs"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7" xr16:uid="{BB006CB5-ECD2-4BF3-8B00-4DC3B8FB2139}" autoFormatId="16" applyNumberFormats="0" applyBorderFormats="0" applyFontFormats="0" applyPatternFormats="0" applyAlignmentFormats="0" applyWidthHeightFormats="0">
  <queryTableRefresh nextId="2">
    <queryTableFields count="1">
      <queryTableField id="1" name="cfgStartDate"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connectionId="3" xr16:uid="{316CA441-BBF7-42FC-A1E5-786DDFD75E2A}" autoFormatId="16" applyNumberFormats="0" applyBorderFormats="0" applyFontFormats="0" applyPatternFormats="0" applyAlignmentFormats="0" applyWidthHeightFormats="0">
  <queryTableRefresh nextId="2">
    <queryTableFields count="1">
      <queryTableField id="1" name="cfgEndDate"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 connectionId="4" xr16:uid="{93F3DCDF-D79B-42B4-8287-672C8E1B515D}" autoFormatId="16" applyNumberFormats="0" applyBorderFormats="0" applyFontFormats="0" applyPatternFormats="0" applyAlignmentFormats="0" applyWidthHeightFormats="0">
  <queryTableRefresh nextId="2">
    <queryTableFields count="1">
      <queryTableField id="1" name="cfgEquity" tableColumnId="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D9365314-C9EE-4DE6-883F-1659CC1AAF4E}" sourceName="Group">
  <extLst>
    <x:ext xmlns:x15="http://schemas.microsoft.com/office/spreadsheetml/2010/11/main" uri="{2F2917AC-EB37-4324-AD4E-5DD8C200BD13}">
      <x15:tableSlicerCache tableId="11"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 xr10:uid="{4813E4C3-7B3B-4298-8164-FCC34CF46DEC}" sourceName="Head">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 xr10:uid="{DAC3FBAD-6673-4296-8F3E-F28AE2465177}" cache="Slicer_Head" caption="Head" columnCount="6" showCaption="0" style="SlicerStyleLight4" rowHeight="209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23E43C52-FB9B-42D8-8CDE-914EDB439432}" cache="Slicer_Group" caption="Group" columnCount="4" showCaption="0" style="SlicerStyleLight6" rowHeight="2095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D1ADDB-B5D5-4761-98D5-4564656B0F05}" name="tbBatch" displayName="tbBatch" ref="B5:I8" tableType="queryTable" totalsRowShown="0" headerRowDxfId="98">
  <autoFilter ref="B5:I8" xr:uid="{2ED1ADDB-B5D5-4761-98D5-4564656B0F05}"/>
  <tableColumns count="8">
    <tableColumn id="1" xr3:uid="{6E04B2A6-2B14-4452-BE2D-45730DABA650}" uniqueName="1" name="#" queryTableFieldId="1" dataDxfId="97"/>
    <tableColumn id="2" xr3:uid="{71D68D12-62C2-4ABD-9A1C-997E06EF2961}" uniqueName="2" name="Code" queryTableFieldId="2" dataDxfId="96"/>
    <tableColumn id="3" xr3:uid="{30D73F76-660C-4D06-B35D-8B81CAC8E4B3}" uniqueName="3" name="Name" queryTableFieldId="3" dataDxfId="95"/>
    <tableColumn id="4" xr3:uid="{C7660726-F768-4A46-9A5A-B580697C6350}" uniqueName="4" name="Type" queryTableFieldId="4" dataDxfId="94"/>
    <tableColumn id="5" xr3:uid="{189348E5-978F-4E64-A542-979D4F3AC3B2}" uniqueName="5" name="Report" queryTableFieldId="5"/>
    <tableColumn id="6" xr3:uid="{4EE0F05F-22F9-42D9-9107-EDCC6E4EE005}" uniqueName="6" name="IsCF" queryTableFieldId="6"/>
    <tableColumn id="7" xr3:uid="{D81E97EE-F5E3-4490-A016-27E5EFFF5D64}" uniqueName="7" name="Column7" queryTableFieldId="9"/>
    <tableColumn id="8" xr3:uid="{03983E73-46E6-4F2C-B0DC-F02E0A1D14CE}" uniqueName="8" name="note: batch dengan kode &quot;tax&quot; harus di input untuk jurnal koreksi fiskal" queryTableFieldId="10"/>
  </tableColumns>
  <tableStyleInfo name="MyGree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486824-51EF-4BF8-AA1C-73AB9EBB6B89}" name="tbCoa" displayName="tbCoa" ref="B5:S12" tableType="queryTable" totalsRowShown="0" headerRowDxfId="90" dataDxfId="89">
  <autoFilter ref="B5:S12" xr:uid="{EE486824-51EF-4BF8-AA1C-73AB9EBB6B89}"/>
  <tableColumns count="18">
    <tableColumn id="1" xr3:uid="{3E8E5AF3-FC4B-434F-9810-EF594DEEE1DB}" uniqueName="1" name="#" queryTableFieldId="1" dataDxfId="88"/>
    <tableColumn id="2" xr3:uid="{333E2289-276B-4E25-9E7C-7D9892F19886}" uniqueName="2" name="Number" queryTableFieldId="2" dataDxfId="87"/>
    <tableColumn id="3" xr3:uid="{92398136-F993-455F-A091-4274E378D568}" uniqueName="3" name="Code" queryTableFieldId="3" dataDxfId="86"/>
    <tableColumn id="15" xr3:uid="{46DA8F12-E730-4586-8EFF-03DAF9DE3AE9}" uniqueName="15" name="Tax" queryTableFieldId="29"/>
    <tableColumn id="18" xr3:uid="{A2ED8576-F30E-4580-A846-E2E4AE00C795}" uniqueName="18" name="Ori Name" queryTableFieldId="20" dataDxfId="85"/>
    <tableColumn id="4" xr3:uid="{EECEDB36-9352-4B7A-B7DA-C822CA2293D3}" uniqueName="4" name="Account Name" queryTableFieldId="4" dataDxfId="84"/>
    <tableColumn id="5" xr3:uid="{754A30B3-88D7-429B-ACF4-7D01413C8C1B}" uniqueName="5" name="Norm" queryTableFieldId="5" dataDxfId="83"/>
    <tableColumn id="6" xr3:uid="{F4F0DF57-CEBA-477A-B322-746CF616B950}" uniqueName="6" name="Contra" queryTableFieldId="6" dataDxfId="82"/>
    <tableColumn id="7" xr3:uid="{C1A30713-A431-427C-90F5-1F5763CC53F4}" uniqueName="7" name="Status" queryTableFieldId="7" dataDxfId="81"/>
    <tableColumn id="8" xr3:uid="{CB6A1A07-54A7-4E56-B45B-99A535631CE6}" uniqueName="8" name="Head" queryTableFieldId="8" dataDxfId="80"/>
    <tableColumn id="9" xr3:uid="{105BB41B-5A3D-42B0-835B-C1B4EA15D122}" uniqueName="9" name="Group" queryTableFieldId="9" dataDxfId="79"/>
    <tableColumn id="10" xr3:uid="{68124DE2-D28C-430E-BB6D-DAABB4A2FFA7}" uniqueName="10" name="Sgroup" queryTableFieldId="10" dataDxfId="78"/>
    <tableColumn id="11" xr3:uid="{EB14C059-9185-4040-8103-EE670E59191A}" uniqueName="11" name="Rep" queryTableFieldId="11" dataDxfId="77"/>
    <tableColumn id="17" xr3:uid="{7917B05A-6A8B-45E1-8D4F-58BB14DA7BF7}" uniqueName="17" name="Cf" queryTableFieldId="31"/>
    <tableColumn id="12" xr3:uid="{E9AD706B-A1B5-44A0-9FDC-1CF7853FC73E}" uniqueName="12" name="CosGr" queryTableFieldId="24" dataDxfId="76"/>
    <tableColumn id="13" xr3:uid="{6F943DE9-1523-4642-A74E-79639FF73CA6}" uniqueName="13" name="CosNum" queryTableFieldId="25" dataDxfId="75"/>
    <tableColumn id="16" xr3:uid="{454A3E1D-98EE-4928-9FC0-7433F4BD164F}" uniqueName="16" name="Zero" queryTableFieldId="17" dataDxfId="74"/>
    <tableColumn id="14" xr3:uid="{ADD7EE05-9A70-4FC1-B6A0-ECE4780D919D}" uniqueName="14" name="Remarks" queryTableFieldId="14" dataDxfId="73"/>
  </tableColumns>
  <tableStyleInfo name="MyYellow"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263ECF-E737-4355-8122-411F92471B1B}" name="tbGj" displayName="tbGj" ref="B5:O11" totalsRowShown="0" headerRowDxfId="61" dataDxfId="60">
  <autoFilter ref="B5:O11" xr:uid="{63263ECF-E737-4355-8122-411F92471B1B}"/>
  <tableColumns count="14">
    <tableColumn id="1" xr3:uid="{587C39FC-FADF-4E17-A34E-C5C1BD14FB8C}" name="Date" dataDxfId="59"/>
    <tableColumn id="2" xr3:uid="{C2D0176D-918A-4A5E-BD00-7DA6F1F7D709}" name="Batch" dataDxfId="58"/>
    <tableColumn id="3" xr3:uid="{16999FE8-3789-42E6-84CB-226C569793AB}" name="Ref" dataDxfId="57"/>
    <tableColumn id="8" xr3:uid="{1BCC5180-9AED-4562-929C-C2DE42183236}" name="Tags" dataDxfId="56"/>
    <tableColumn id="5" xr3:uid="{599F1360-884B-4986-AD18-87AB29EF1278}" name="Description" dataDxfId="55"/>
    <tableColumn id="22" xr3:uid="{B1AD54D9-6C57-414C-8DC8-14F246341B04}" name="d/c" dataDxfId="54"/>
    <tableColumn id="25" xr3:uid="{74BD78C5-F09F-40DC-A6E4-C4B064AA2815}" name="Amount" dataDxfId="53"/>
    <tableColumn id="11" xr3:uid="{D8BC4C0F-AE46-49DF-AEB4-903D140E559C}" name="CoaCode" dataDxfId="52"/>
    <tableColumn id="4" xr3:uid="{788E970B-05E3-4E35-BAF5-6F9356E7CFA0}" name="CosCode" dataDxfId="51"/>
    <tableColumn id="14" xr3:uid="{C66CF06E-5A81-41BD-9181-2D3D0FD42AAD}" name="_amount" dataDxfId="50">
      <calculatedColumnFormula>(tbGj[[#This Row],[d/c]]="debit")*2*tbGj[[#This Row],[Amount]]-tbGj[[#This Row],[Amount]]</calculatedColumnFormula>
    </tableColumn>
    <tableColumn id="16" xr3:uid="{A8692F2A-EAE5-4B49-BCB0-D580D2F86F2E}" name="Notes" dataDxfId="49"/>
    <tableColumn id="6" xr3:uid="{666126E7-0878-4B86-8516-C68426643546}" name="CosGroup" dataDxfId="48">
      <calculatedColumnFormula>INDEX(tbCoa[CosNum],MATCH(tbGj[[#This Row],[CoaCode]],tbCoa[Code],0))</calculatedColumnFormula>
    </tableColumn>
    <tableColumn id="7" xr3:uid="{8AB300C2-DF7A-4B4B-9DE7-0BF5D1984415}" name="_val1" dataDxfId="47">
      <calculatedColumnFormula>INDEX(tbCos[Number],MATCH(tbGj[[#This Row],[CosCode]],tbCos[Code],0))=tbGj[[#This Row],[CosGroup]]</calculatedColumnFormula>
    </tableColumn>
    <tableColumn id="9" xr3:uid="{DAB2051A-E557-49DE-8FAE-BB337A18DC4A}" name="_val2" dataDxfId="46">
      <calculatedColumnFormula>(INDEX(tbCoa[Cf],MATCH(tbGj[[#This Row],[CoaCode]],tbCoa[Code],0))="#cash")+ERROR.TYPE(tbGj[[#This Row],[_val1]])+(tbGj[[#This Row],[CosCode]]="")=9</calculatedColumnFormula>
    </tableColumn>
  </tableColumns>
  <tableStyleInfo name="TableStyleMedium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555619-2C38-4B8D-82CB-8B5C4FAF915C}" name="tbCos" displayName="tbCos" ref="B5:H12" tableType="queryTable" totalsRowShown="0" headerRowDxfId="45">
  <autoFilter ref="B5:H12" xr:uid="{91555619-2C38-4B8D-82CB-8B5C4FAF915C}"/>
  <tableColumns count="7">
    <tableColumn id="1" xr3:uid="{1CA50A33-F027-4441-9B77-C077816D7486}" uniqueName="1" name="#" queryTableFieldId="1" dataDxfId="44"/>
    <tableColumn id="7" xr3:uid="{4F3E9533-87AE-4867-9A68-EB999D5254DA}" uniqueName="7" name="Number" queryTableFieldId="7"/>
    <tableColumn id="3" xr3:uid="{57475ED5-EB7F-4A09-96FC-1198BF4D72C8}" uniqueName="3" name="Code" queryTableFieldId="3" dataDxfId="43"/>
    <tableColumn id="4" xr3:uid="{1D4A90E5-7A11-4B57-A883-4A7410EE272C}" uniqueName="4" name="Account Name" queryTableFieldId="4" dataDxfId="42"/>
    <tableColumn id="5" xr3:uid="{812E6650-00E7-48CA-A7BF-9BB16CBA4319}" uniqueName="5" name="Group" queryTableFieldId="5" dataDxfId="41"/>
    <tableColumn id="6" xr3:uid="{A800EC3A-1E10-4CC7-8FC5-EA81E1514B48}" uniqueName="6" name="Status" queryTableFieldId="6" dataDxfId="40"/>
    <tableColumn id="2" xr3:uid="{2C9D7A4E-8A99-42C7-9DA8-3FD3FF6D872D}" uniqueName="2" name="Head" queryTableFieldId="9"/>
  </tableColumns>
  <tableStyleInfo name="MyGree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F5682CA-3A08-4729-80D5-653FFB6B8D6F}" name="tbTB" displayName="tbTB" ref="B5:Q53" totalsRowShown="0" headerRowDxfId="30" dataDxfId="29">
  <autoFilter ref="B5:Q53" xr:uid="{3F5682CA-3A08-4729-80D5-653FFB6B8D6F}"/>
  <tableColumns count="16">
    <tableColumn id="1" xr3:uid="{5B8D2CCA-95E6-4707-A57E-C1E7B9A6AAAE}" name="#" dataDxfId="28">
      <calculatedColumnFormula>tbCoa[[#This Row],['#]]</calculatedColumnFormula>
    </tableColumn>
    <tableColumn id="2" xr3:uid="{39E1EA90-9ED5-4490-9AEC-AC9B3CBF8419}" name="Number" dataDxfId="27">
      <calculatedColumnFormula>tbCoa[[#This Row],[Number]]</calculatedColumnFormula>
    </tableColumn>
    <tableColumn id="3" xr3:uid="{4F35C814-DE48-400A-8D13-A62BE4258F93}" name="Code" dataDxfId="26">
      <calculatedColumnFormula>tbCoa[[#This Row],[Code]]</calculatedColumnFormula>
    </tableColumn>
    <tableColumn id="4" xr3:uid="{EF9BB9B7-3924-45DD-BBBC-1C8AAB3534BC}" name="Account Name" dataDxfId="25">
      <calculatedColumnFormula>tbCoa[[#This Row],[Ori Name]]</calculatedColumnFormula>
    </tableColumn>
    <tableColumn id="10" xr3:uid="{9C2F8AE9-C784-4FFB-82B1-5D5F408330E6}" name="Status" dataDxfId="24">
      <calculatedColumnFormula>tbCoa[[#This Row],[Status]]</calculatedColumnFormula>
    </tableColumn>
    <tableColumn id="12" xr3:uid="{273E3FD8-FE3C-414D-8D87-B5B3E56F7A04}" name="Head" dataDxfId="23">
      <calculatedColumnFormula>tbCoa[[#This Row],[Head]]</calculatedColumnFormula>
    </tableColumn>
    <tableColumn id="11" xr3:uid="{4BC32EB8-8649-4903-99BB-1FFF3F6E000A}" name="Group" dataDxfId="22">
      <calculatedColumnFormula>tbCoa[[#This Row],[Group]]</calculatedColumnFormula>
    </tableColumn>
    <tableColumn id="13" xr3:uid="{0C81582A-EA95-4322-BA63-71024653E9DF}" name="Rep" dataDxfId="21">
      <calculatedColumnFormula>tbCoa[[#This Row],[Rep]]</calculatedColumnFormula>
    </tableColumn>
    <tableColumn id="5" xr3:uid="{D97B7BE6-5156-495C-942D-FB809B9B6986}" name="Opening Balance" dataDxfId="20">
      <calculatedColumnFormula>SUMIFS(tbGj[_amount],tbGj[Date],"&lt;"&amp;_tbStartDate,tbGj[CoaCode],tbTB[[#This Row],[Code]])</calculatedColumnFormula>
    </tableColumn>
    <tableColumn id="6" xr3:uid="{B0ABD37C-251D-490A-9FBE-4B74216E8F9D}" name="Debit" dataDxfId="19">
      <calculatedColumnFormula>SUMIFS(tbGj[_amount],tbGj[Date],"&gt;="&amp;_tbStartDate,tbGj[Date],"&lt;="&amp;_tbEndDate,tbGj[CoaCode],tbTB[[#This Row],[Code]],tbGj[d/c],"debit")</calculatedColumnFormula>
    </tableColumn>
    <tableColumn id="7" xr3:uid="{ED6D74AD-0D45-4C60-BE3F-9CB28A7E89E3}" name="Credit" dataDxfId="18">
      <calculatedColumnFormula>SUMIFS(tbGj[_amount],tbGj[Date],"&gt;="&amp;_tbStartDate,tbGj[Date],"&lt;="&amp;_tbEndDate,tbGj[CoaCode],tbTB[[#This Row],[Code]],tbGj[d/c],"credit")</calculatedColumnFormula>
    </tableColumn>
    <tableColumn id="8" xr3:uid="{EF74C1F2-9770-4CFF-8237-FD03910D81D1}" name="Mutation" dataDxfId="17">
      <calculatedColumnFormula>SUM(tbTB[[#This Row],[Debit]:[Credit]])</calculatedColumnFormula>
    </tableColumn>
    <tableColumn id="9" xr3:uid="{6CEB92B0-A9B9-4783-A1B1-DC564F914E08}" name="Ending Balance" dataDxfId="16">
      <calculatedColumnFormula>tbTB[[#This Row],[Opening Balance]]+tbTB[[#This Row],[Mutation]]</calculatedColumnFormula>
    </tableColumn>
    <tableColumn id="14" xr3:uid="{37358332-7BCC-4A65-92AB-5CE19CDF3852}" name="Reconcile" dataDxfId="15"/>
    <tableColumn id="15" xr3:uid="{D3376D75-02DC-48A6-A23F-85A3BB687473}" name="Variance" dataDxfId="14">
      <calculatedColumnFormula>(tbTB[[#This Row],[Reconcile]]&lt;&gt;"")*(tbTB[[#This Row],[Ending Balance]]-tbTB[[#This Row],[Reconcile]])</calculatedColumnFormula>
    </tableColumn>
    <tableColumn id="16" xr3:uid="{B0D2D9AD-EDBC-4B41-A32F-B5883D2B91C3}" name="Notes" dataDxfId="13"/>
  </tableColumns>
  <tableStyleInfo name="MyRe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6D37D9-D432-4252-B429-34E1104FA901}" name="tbAudit" displayName="tbAudit" ref="B3:E33" totalsRowShown="0" headerRowDxfId="10" dataDxfId="9">
  <autoFilter ref="B3:E33" xr:uid="{026D37D9-D432-4252-B429-34E1104FA901}"/>
  <tableColumns count="4">
    <tableColumn id="1" xr3:uid="{1384BD97-D4ED-4EA9-93E8-3D39B7932B84}" name="Date" dataDxfId="8"/>
    <tableColumn id="2" xr3:uid="{24A0FD0D-FE7F-4451-9E91-DFFD6AB39026}" name="Debit" dataDxfId="7">
      <calculatedColumnFormula>SUMIFS(tbGj[Amount],tbGj[Date],audit!$B4,tbGj[d/c],audit!C$3)</calculatedColumnFormula>
    </tableColumn>
    <tableColumn id="3" xr3:uid="{E1F76F99-192F-40A6-865A-EF51C44D72FB}" name="Credit" dataDxfId="6">
      <calculatedColumnFormula>SUMIFS(tbGj[Amount],tbGj[Date],audit!$B4,tbGj[d/c],audit!D$3)</calculatedColumnFormula>
    </tableColumn>
    <tableColumn id="4" xr3:uid="{B9285E17-3340-4B45-93E1-34ED08D1EA7A}" name="Diff" dataDxfId="5">
      <calculatedColumnFormula>C4-D4</calculatedColumnFormula>
    </tableColumn>
  </tableColumns>
  <tableStyleInfo name="TableStyleMedium1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A06EC1-D636-4958-AE65-516D948B7A7A}" name="cfgCompName" displayName="cfgCompName" ref="A4:A5" tableType="queryTable" totalsRowShown="0">
  <autoFilter ref="A4:A5" xr:uid="{4CA06EC1-D636-4958-AE65-516D948B7A7A}"/>
  <tableColumns count="1">
    <tableColumn id="1" xr3:uid="{DCD96BF6-939F-4778-BD08-B66C8F9B3015}" uniqueName="1" name="cfgCompName" queryTableFieldId="1" dataDxfId="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2B1286D-2B74-4FA4-ABAC-6E0823643078}" name="cfgCompAdrs" displayName="cfgCompAdrs" ref="B4:B5" tableType="queryTable" totalsRowShown="0">
  <autoFilter ref="B4:B5" xr:uid="{92B1286D-2B74-4FA4-ABAC-6E0823643078}"/>
  <tableColumns count="1">
    <tableColumn id="1" xr3:uid="{D841974C-57F5-47DD-B3F6-5A3FDC025090}" uniqueName="1" name="cfgCompAdrs" queryTableFieldId="1" dataDxf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4590BAC-61B6-4925-86AD-138A19336A8E}" name="cfgStartDate" displayName="cfgStartDate" ref="C4:C5" tableType="queryTable" totalsRowShown="0">
  <autoFilter ref="C4:C5" xr:uid="{04590BAC-61B6-4925-86AD-138A19336A8E}"/>
  <tableColumns count="1">
    <tableColumn id="1" xr3:uid="{C9FAB85D-8948-4C6B-BDA1-045F5647EDD5}" uniqueName="1" name="cfgStartDate" queryTableFieldId="1" dataDxf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E8E162F-8E07-4921-9E0A-5DB6CE075B19}" name="cfgEndDate" displayName="cfgEndDate" ref="D4:D5" tableType="queryTable" totalsRowShown="0">
  <autoFilter ref="D4:D5" xr:uid="{CE8E162F-8E07-4921-9E0A-5DB6CE075B19}"/>
  <tableColumns count="1">
    <tableColumn id="1" xr3:uid="{0895C798-3885-41DD-8F0D-67477E535501}" uniqueName="1" name="cfgEndDate" queryTableFieldId="1" dataDxfId="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1243F68-95E4-41EE-8B3B-889C12156676}" name="cfgEquity" displayName="cfgEquity" ref="E4:E5" tableType="queryTable" totalsRowShown="0">
  <autoFilter ref="E4:E5" xr:uid="{E1243F68-95E4-41EE-8B3B-889C12156676}"/>
  <tableColumns count="1">
    <tableColumn id="1" xr3:uid="{64063CF6-8EA6-4527-A224-1DAC6777BE95}" uniqueName="1" name="cfgEquity"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 Id="rId5" Type="http://schemas.openxmlformats.org/officeDocument/2006/relationships/table" Target="../tables/table11.xml"/><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878D4-19DA-46E8-A5DC-D7B20784326D}">
  <sheetPr codeName="sh_cfg">
    <tabColor rgb="FFFFCCFF"/>
  </sheetPr>
  <dimension ref="A1:E49"/>
  <sheetViews>
    <sheetView showGridLines="0" tabSelected="1" zoomScale="200" zoomScaleNormal="200" workbookViewId="0">
      <selection activeCell="C20" sqref="C20"/>
    </sheetView>
  </sheetViews>
  <sheetFormatPr defaultColWidth="0" defaultRowHeight="12.75" zeroHeight="1" x14ac:dyDescent="0.2"/>
  <cols>
    <col min="1" max="1" width="1.28515625" style="38" customWidth="1"/>
    <col min="2" max="2" width="12.140625" style="38" customWidth="1"/>
    <col min="3" max="3" width="116.140625" style="38" customWidth="1"/>
    <col min="4" max="4" width="1.28515625" style="38" customWidth="1"/>
    <col min="5" max="5" width="12" style="38" hidden="1" customWidth="1"/>
    <col min="6" max="16384" width="9.140625" style="38" hidden="1"/>
  </cols>
  <sheetData>
    <row r="1" spans="2:3" x14ac:dyDescent="0.2">
      <c r="C1" s="39" t="s">
        <v>74</v>
      </c>
    </row>
    <row r="2" spans="2:3" ht="21" x14ac:dyDescent="0.35">
      <c r="B2" s="40" t="s">
        <v>99</v>
      </c>
    </row>
    <row r="3" spans="2:3" x14ac:dyDescent="0.2">
      <c r="B3" s="41" t="s">
        <v>75</v>
      </c>
    </row>
    <row r="4" spans="2:3" x14ac:dyDescent="0.2"/>
    <row r="5" spans="2:3" x14ac:dyDescent="0.2">
      <c r="B5" s="38" t="s">
        <v>76</v>
      </c>
    </row>
    <row r="6" spans="2:3" x14ac:dyDescent="0.2">
      <c r="B6" s="42" t="s">
        <v>5</v>
      </c>
      <c r="C6" s="37" t="str" cm="1">
        <f t="array" ref="C6">cfgCompName[]</f>
        <v>PT SimAcc Consulting</v>
      </c>
    </row>
    <row r="7" spans="2:3" x14ac:dyDescent="0.2">
      <c r="B7" s="42" t="s">
        <v>77</v>
      </c>
      <c r="C7" s="37" t="str" cm="1">
        <f t="array" ref="C7">cfgCompAdrs[]</f>
        <v>Jl. xxx, Jakarta</v>
      </c>
    </row>
    <row r="8" spans="2:3" x14ac:dyDescent="0.2">
      <c r="B8" s="43"/>
    </row>
    <row r="9" spans="2:3" x14ac:dyDescent="0.2">
      <c r="B9" s="81" t="s">
        <v>78</v>
      </c>
    </row>
    <row r="10" spans="2:3" x14ac:dyDescent="0.2">
      <c r="B10" s="44" t="s">
        <v>22</v>
      </c>
      <c r="C10" s="46" cm="1">
        <f t="array" ref="C10">cfgStartDate[]</f>
        <v>45870</v>
      </c>
    </row>
    <row r="11" spans="2:3" x14ac:dyDescent="0.2">
      <c r="B11" s="45" t="s">
        <v>23</v>
      </c>
      <c r="C11" s="47" cm="1">
        <f t="array" ref="C11">cfgEndDate[]</f>
        <v>45930</v>
      </c>
    </row>
    <row r="12" spans="2:3" x14ac:dyDescent="0.2">
      <c r="B12" s="43"/>
    </row>
    <row r="13" spans="2:3" x14ac:dyDescent="0.2">
      <c r="B13" s="81" t="s">
        <v>79</v>
      </c>
    </row>
    <row r="14" spans="2:3" x14ac:dyDescent="0.2">
      <c r="B14" s="42" t="s">
        <v>72</v>
      </c>
      <c r="C14" s="37" cm="1">
        <f t="array" ref="C14">cfgEquity[]</f>
        <v>0</v>
      </c>
    </row>
    <row r="15" spans="2:3" x14ac:dyDescent="0.2">
      <c r="B15" s="80" t="s">
        <v>85</v>
      </c>
      <c r="C15" s="55">
        <v>170</v>
      </c>
    </row>
    <row r="16" spans="2:3" x14ac:dyDescent="0.2"/>
    <row r="17" spans="2:3" x14ac:dyDescent="0.2">
      <c r="B17" s="38" t="s">
        <v>92</v>
      </c>
    </row>
    <row r="18" spans="2:3" x14ac:dyDescent="0.2">
      <c r="B18" s="42" t="s">
        <v>93</v>
      </c>
      <c r="C18" s="37" t="s">
        <v>105</v>
      </c>
    </row>
    <row r="19" spans="2:3" x14ac:dyDescent="0.2"/>
    <row r="20" spans="2:3" x14ac:dyDescent="0.2"/>
    <row r="21" spans="2:3" x14ac:dyDescent="0.2">
      <c r="B21" s="81" t="s">
        <v>89</v>
      </c>
    </row>
    <row r="22" spans="2:3" x14ac:dyDescent="0.2">
      <c r="B22" s="42" t="s">
        <v>94</v>
      </c>
      <c r="C22" s="85">
        <v>256144554202</v>
      </c>
    </row>
    <row r="23" spans="2:3" x14ac:dyDescent="0.2">
      <c r="B23" s="42" t="s">
        <v>95</v>
      </c>
      <c r="C23" s="82" t="s">
        <v>98</v>
      </c>
    </row>
    <row r="24" spans="2:3" ht="33.75" x14ac:dyDescent="0.2">
      <c r="B24" s="79" t="s">
        <v>90</v>
      </c>
      <c r="C24" s="83" t="s">
        <v>109</v>
      </c>
    </row>
    <row r="25" spans="2:3" x14ac:dyDescent="0.2">
      <c r="B25" s="42" t="s">
        <v>9</v>
      </c>
      <c r="C25" s="84">
        <v>10</v>
      </c>
    </row>
    <row r="26" spans="2:3" x14ac:dyDescent="0.2">
      <c r="B26" s="42" t="s">
        <v>11</v>
      </c>
      <c r="C26" s="78" t="b">
        <v>1</v>
      </c>
    </row>
    <row r="27" spans="2:3" x14ac:dyDescent="0.2"/>
    <row r="28" spans="2:3" x14ac:dyDescent="0.2"/>
    <row r="29" spans="2:3" x14ac:dyDescent="0.2"/>
    <row r="30" spans="2:3" x14ac:dyDescent="0.2"/>
    <row r="31" spans="2:3" x14ac:dyDescent="0.2"/>
    <row r="32" spans="2:3" x14ac:dyDescent="0.2"/>
    <row r="33" x14ac:dyDescent="0.2"/>
    <row r="34" x14ac:dyDescent="0.2"/>
    <row r="35" x14ac:dyDescent="0.2"/>
    <row r="48" x14ac:dyDescent="0.2"/>
    <row r="49" x14ac:dyDescent="0.2"/>
  </sheetData>
  <conditionalFormatting sqref="C25">
    <cfRule type="cellIs" dxfId="100" priority="2" operator="equal">
      <formula>"valid"</formula>
    </cfRule>
  </conditionalFormatting>
  <conditionalFormatting sqref="C26">
    <cfRule type="cellIs" dxfId="99" priority="1" operator="equal">
      <formula>TRUE</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81356-2DD1-4FF8-AD09-2EE28A507356}">
  <sheetPr codeName="sh_batch">
    <tabColor rgb="FFC6E08C"/>
  </sheetPr>
  <dimension ref="A1:P8"/>
  <sheetViews>
    <sheetView showGridLines="0" zoomScale="130" zoomScaleNormal="130" workbookViewId="0">
      <pane xSplit="1" ySplit="5" topLeftCell="B6" activePane="bottomRight" state="frozen"/>
      <selection pane="topRight" activeCell="B1" sqref="B1"/>
      <selection pane="bottomLeft" activeCell="A6" sqref="A6"/>
      <selection pane="bottomRight" activeCell="D8" sqref="D8"/>
    </sheetView>
  </sheetViews>
  <sheetFormatPr defaultColWidth="0" defaultRowHeight="12.75" x14ac:dyDescent="0.2"/>
  <cols>
    <col min="1" max="1" width="0.7109375" customWidth="1"/>
    <col min="2" max="2" width="5.7109375" customWidth="1"/>
    <col min="3" max="3" width="23.7109375" customWidth="1"/>
    <col min="4" max="4" width="87.85546875" customWidth="1"/>
    <col min="5" max="5" width="30.7109375" customWidth="1"/>
    <col min="6" max="11" width="14.140625" customWidth="1"/>
    <col min="12" max="12" width="0.7109375" customWidth="1"/>
    <col min="13" max="16" width="0" hidden="1" customWidth="1"/>
    <col min="17" max="16384" width="9.140625" hidden="1"/>
  </cols>
  <sheetData>
    <row r="1" spans="2:11" ht="3" customHeight="1" x14ac:dyDescent="0.2"/>
    <row r="2" spans="2:11" x14ac:dyDescent="0.2">
      <c r="B2" s="18" t="str" cm="1">
        <f t="array" ref="B2">cfgCompName[]</f>
        <v>PT SimAcc Consulting</v>
      </c>
      <c r="C2" s="18"/>
      <c r="D2" s="18"/>
      <c r="E2" s="18"/>
      <c r="F2" s="18"/>
      <c r="G2" s="18"/>
      <c r="H2" s="18"/>
      <c r="I2" s="18"/>
      <c r="J2" s="18"/>
      <c r="K2" s="18"/>
    </row>
    <row r="3" spans="2:11" ht="15.75" x14ac:dyDescent="0.25">
      <c r="B3" s="19" t="s">
        <v>24</v>
      </c>
      <c r="C3" s="18"/>
      <c r="D3" s="18"/>
      <c r="E3" s="18"/>
      <c r="F3" s="18"/>
      <c r="G3" s="18"/>
      <c r="H3" s="18"/>
      <c r="I3" s="18"/>
      <c r="J3" s="18"/>
      <c r="K3" s="18"/>
    </row>
    <row r="4" spans="2:11" ht="1.5" customHeight="1" x14ac:dyDescent="0.2"/>
    <row r="5" spans="2:11" x14ac:dyDescent="0.2">
      <c r="B5" s="2" t="s">
        <v>1</v>
      </c>
      <c r="C5" s="2" t="s">
        <v>4</v>
      </c>
      <c r="D5" s="2" t="s">
        <v>5</v>
      </c>
      <c r="E5" s="2" t="s">
        <v>6</v>
      </c>
      <c r="F5" s="2" t="s">
        <v>66</v>
      </c>
      <c r="G5" s="2" t="s">
        <v>103</v>
      </c>
      <c r="H5" t="s">
        <v>106</v>
      </c>
      <c r="I5" t="s">
        <v>107</v>
      </c>
    </row>
    <row r="6" spans="2:11" x14ac:dyDescent="0.2">
      <c r="B6" s="1">
        <v>1</v>
      </c>
    </row>
    <row r="7" spans="2:11" x14ac:dyDescent="0.2">
      <c r="B7" s="1">
        <v>2</v>
      </c>
    </row>
    <row r="8" spans="2:11" x14ac:dyDescent="0.2">
      <c r="B8" s="1">
        <v>3</v>
      </c>
    </row>
  </sheetData>
  <phoneticPr fontId="8"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E22DC-8A8C-4FAA-92B0-2F12A56EFD3A}">
  <sheetPr codeName="sh_coa">
    <tabColor rgb="FFC6E08C"/>
  </sheetPr>
  <dimension ref="A1:Z12"/>
  <sheetViews>
    <sheetView showGridLines="0" zoomScale="120" zoomScaleNormal="120" workbookViewId="0">
      <pane xSplit="1" ySplit="5" topLeftCell="B6" activePane="bottomRight" state="frozen"/>
      <selection activeCell="D49" sqref="D49"/>
      <selection pane="topRight" activeCell="D49" sqref="D49"/>
      <selection pane="bottomLeft" activeCell="D49" sqref="D49"/>
      <selection pane="bottomRight" activeCell="F41" sqref="F41"/>
    </sheetView>
  </sheetViews>
  <sheetFormatPr defaultColWidth="0" defaultRowHeight="12.75" x14ac:dyDescent="0.2"/>
  <cols>
    <col min="1" max="1" width="0.5703125" customWidth="1"/>
    <col min="2" max="2" width="6.42578125" customWidth="1"/>
    <col min="3" max="3" width="8.85546875" customWidth="1"/>
    <col min="4" max="4" width="14.7109375" bestFit="1" customWidth="1"/>
    <col min="5" max="5" width="5.85546875" bestFit="1" customWidth="1"/>
    <col min="6" max="6" width="68.85546875" customWidth="1"/>
    <col min="7" max="7" width="38.140625" hidden="1" customWidth="1"/>
    <col min="8" max="8" width="8.140625" bestFit="1" customWidth="1"/>
    <col min="9" max="9" width="10.85546875" bestFit="1" customWidth="1"/>
    <col min="10" max="10" width="10.42578125" bestFit="1" customWidth="1"/>
    <col min="11" max="11" width="17.140625" customWidth="1"/>
    <col min="12" max="12" width="28" customWidth="1"/>
    <col min="13" max="13" width="21.140625" customWidth="1"/>
    <col min="14" max="14" width="8.5703125" bestFit="1" customWidth="1"/>
    <col min="15" max="15" width="10.28515625" customWidth="1"/>
    <col min="16" max="16" width="9.85546875" bestFit="1" customWidth="1"/>
    <col min="17" max="18" width="9.140625" bestFit="1" customWidth="1"/>
    <col min="19" max="19" width="55.5703125" customWidth="1"/>
    <col min="20" max="20" width="0.7109375" customWidth="1"/>
    <col min="21" max="26" width="0" hidden="1" customWidth="1"/>
    <col min="27" max="16384" width="9.140625" hidden="1"/>
  </cols>
  <sheetData>
    <row r="1" spans="2:19" ht="3" customHeight="1" x14ac:dyDescent="0.2"/>
    <row r="2" spans="2:19" ht="15.75" x14ac:dyDescent="0.25">
      <c r="B2" s="4" t="str" cm="1">
        <f t="array" ref="B2">cfgCompName[]</f>
        <v>PT SimAcc Consulting</v>
      </c>
      <c r="C2" s="3"/>
      <c r="D2" s="3"/>
      <c r="E2" s="3"/>
      <c r="F2" s="3"/>
      <c r="G2" s="3"/>
      <c r="H2" s="3"/>
      <c r="I2" s="3"/>
      <c r="J2" s="3"/>
      <c r="K2" s="3"/>
      <c r="L2" s="3"/>
      <c r="M2" s="3"/>
      <c r="N2" s="3"/>
      <c r="O2" s="3"/>
      <c r="P2" s="3"/>
      <c r="Q2" s="3"/>
      <c r="R2" s="3"/>
      <c r="S2" s="3"/>
    </row>
    <row r="3" spans="2:19" ht="18.75" x14ac:dyDescent="0.3">
      <c r="B3" s="33" t="s">
        <v>17</v>
      </c>
      <c r="C3" s="3"/>
      <c r="D3" s="3"/>
      <c r="E3" s="3"/>
      <c r="F3" s="3" t="str">
        <f>"Number of Accounts: "&amp;TEXT(COUNTA(tbCoa[Code]),"#,##0")</f>
        <v>Number of Accounts: 0</v>
      </c>
      <c r="G3" s="3"/>
      <c r="H3" s="3"/>
      <c r="I3" s="3"/>
      <c r="J3" s="3"/>
      <c r="K3" s="3"/>
      <c r="L3" s="3"/>
      <c r="M3" s="3"/>
      <c r="N3" s="3"/>
      <c r="O3" s="3"/>
      <c r="P3" s="3"/>
      <c r="Q3" s="3"/>
      <c r="R3" s="3"/>
      <c r="S3" s="3"/>
    </row>
    <row r="4" spans="2:19" ht="3" customHeight="1" x14ac:dyDescent="0.2"/>
    <row r="5" spans="2:19" x14ac:dyDescent="0.2">
      <c r="B5" s="2" t="s">
        <v>1</v>
      </c>
      <c r="C5" s="2" t="s">
        <v>12</v>
      </c>
      <c r="D5" s="2" t="s">
        <v>4</v>
      </c>
      <c r="E5" t="s">
        <v>96</v>
      </c>
      <c r="F5" t="s">
        <v>34</v>
      </c>
      <c r="G5" s="2" t="s">
        <v>7</v>
      </c>
      <c r="H5" s="2" t="s">
        <v>13</v>
      </c>
      <c r="I5" s="2" t="s">
        <v>8</v>
      </c>
      <c r="J5" s="2" t="s">
        <v>9</v>
      </c>
      <c r="K5" s="2" t="s">
        <v>3</v>
      </c>
      <c r="L5" s="2" t="s">
        <v>0</v>
      </c>
      <c r="M5" s="2" t="s">
        <v>14</v>
      </c>
      <c r="N5" s="2" t="s">
        <v>2</v>
      </c>
      <c r="O5" t="s">
        <v>101</v>
      </c>
      <c r="P5" t="s">
        <v>43</v>
      </c>
      <c r="Q5" t="s">
        <v>44</v>
      </c>
      <c r="R5" s="9" t="s">
        <v>33</v>
      </c>
      <c r="S5" s="2" t="s">
        <v>10</v>
      </c>
    </row>
    <row r="6" spans="2:19" ht="15.75" x14ac:dyDescent="0.25">
      <c r="B6" s="34">
        <v>1</v>
      </c>
      <c r="C6" s="88"/>
      <c r="D6" s="88"/>
      <c r="F6" s="88"/>
      <c r="G6" s="88" t="s">
        <v>108</v>
      </c>
      <c r="H6" s="35"/>
      <c r="I6" s="35"/>
      <c r="J6" s="35"/>
      <c r="K6" s="88"/>
      <c r="L6" s="88"/>
      <c r="M6" s="88"/>
      <c r="N6" s="35"/>
      <c r="P6" s="35"/>
      <c r="Q6" s="35"/>
      <c r="R6" s="35"/>
      <c r="S6" s="88"/>
    </row>
    <row r="7" spans="2:19" ht="15.75" x14ac:dyDescent="0.25">
      <c r="B7" s="34">
        <v>2</v>
      </c>
      <c r="C7" s="88"/>
      <c r="D7" s="88"/>
      <c r="F7" s="88"/>
      <c r="G7" s="88" t="s">
        <v>108</v>
      </c>
      <c r="H7" s="35"/>
      <c r="I7" s="35"/>
      <c r="J7" s="35"/>
      <c r="K7" s="88"/>
      <c r="L7" s="88"/>
      <c r="M7" s="88"/>
      <c r="N7" s="35"/>
      <c r="P7" s="35"/>
      <c r="Q7" s="35"/>
      <c r="R7" s="35"/>
      <c r="S7" s="88"/>
    </row>
    <row r="8" spans="2:19" ht="15.75" x14ac:dyDescent="0.25">
      <c r="B8" s="34">
        <v>3</v>
      </c>
      <c r="C8" s="88"/>
      <c r="D8" s="88"/>
      <c r="F8" s="88"/>
      <c r="G8" s="88" t="s">
        <v>108</v>
      </c>
      <c r="H8" s="35"/>
      <c r="I8" s="35"/>
      <c r="J8" s="35"/>
      <c r="K8" s="88"/>
      <c r="L8" s="88"/>
      <c r="M8" s="88"/>
      <c r="N8" s="35"/>
      <c r="P8" s="35"/>
      <c r="Q8" s="35"/>
      <c r="R8" s="35"/>
      <c r="S8" s="88"/>
    </row>
    <row r="9" spans="2:19" ht="15.75" x14ac:dyDescent="0.25">
      <c r="B9" s="34">
        <v>4</v>
      </c>
      <c r="C9" s="88"/>
      <c r="D9" s="88"/>
      <c r="F9" s="88"/>
      <c r="G9" s="88" t="s">
        <v>108</v>
      </c>
      <c r="H9" s="35"/>
      <c r="I9" s="35"/>
      <c r="J9" s="35"/>
      <c r="K9" s="88"/>
      <c r="L9" s="88"/>
      <c r="M9" s="88"/>
      <c r="N9" s="35"/>
      <c r="P9" s="35"/>
      <c r="Q9" s="35"/>
      <c r="R9" s="35"/>
      <c r="S9" s="88"/>
    </row>
    <row r="10" spans="2:19" ht="15.75" x14ac:dyDescent="0.25">
      <c r="B10" s="34">
        <v>5</v>
      </c>
      <c r="C10" s="88"/>
      <c r="D10" s="88"/>
      <c r="F10" s="88"/>
      <c r="G10" s="88" t="s">
        <v>108</v>
      </c>
      <c r="H10" s="35"/>
      <c r="I10" s="35"/>
      <c r="J10" s="35"/>
      <c r="K10" s="88"/>
      <c r="L10" s="88"/>
      <c r="M10" s="88"/>
      <c r="N10" s="35"/>
      <c r="P10" s="35"/>
      <c r="Q10" s="35"/>
      <c r="R10" s="35"/>
      <c r="S10" s="88"/>
    </row>
    <row r="11" spans="2:19" ht="15.75" x14ac:dyDescent="0.25">
      <c r="B11" s="34">
        <v>6</v>
      </c>
      <c r="C11" s="88"/>
      <c r="D11" s="88"/>
      <c r="F11" s="88"/>
      <c r="G11" s="88" t="s">
        <v>108</v>
      </c>
      <c r="H11" s="35"/>
      <c r="I11" s="35"/>
      <c r="J11" s="35"/>
      <c r="K11" s="88"/>
      <c r="L11" s="88"/>
      <c r="M11" s="88"/>
      <c r="N11" s="35"/>
      <c r="P11" s="35"/>
      <c r="Q11" s="35"/>
      <c r="R11" s="35"/>
      <c r="S11" s="88"/>
    </row>
    <row r="12" spans="2:19" ht="15.75" x14ac:dyDescent="0.25">
      <c r="B12" s="34">
        <v>7</v>
      </c>
      <c r="C12" s="88"/>
      <c r="D12" s="88"/>
      <c r="F12" s="88"/>
      <c r="G12" s="88" t="s">
        <v>108</v>
      </c>
      <c r="H12" s="35"/>
      <c r="I12" s="35"/>
      <c r="J12" s="35"/>
      <c r="K12" s="88"/>
      <c r="L12" s="88"/>
      <c r="M12" s="88"/>
      <c r="N12" s="35"/>
      <c r="P12" s="35"/>
      <c r="Q12" s="35"/>
      <c r="R12" s="35"/>
      <c r="S12" s="88"/>
    </row>
  </sheetData>
  <phoneticPr fontId="8" type="noConversion"/>
  <conditionalFormatting sqref="B6:S12">
    <cfRule type="expression" dxfId="93" priority="64">
      <formula>$I6="Yes"</formula>
    </cfRule>
  </conditionalFormatting>
  <conditionalFormatting sqref="B6:S12">
    <cfRule type="expression" dxfId="92" priority="66">
      <formula>$J6="Deactive"</formula>
    </cfRule>
  </conditionalFormatting>
  <conditionalFormatting sqref="D6:D12">
    <cfRule type="duplicateValues" dxfId="91" priority="107"/>
  </conditionalFormatting>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F4FB7-61EA-429B-A16B-A8CE4B4E2032}">
  <sheetPr codeName="sh_gj">
    <tabColor theme="2" tint="-0.499984740745262"/>
  </sheetPr>
  <dimension ref="A1:R11"/>
  <sheetViews>
    <sheetView showGridLines="0" zoomScale="130" zoomScaleNormal="130" workbookViewId="0">
      <pane xSplit="1" ySplit="5" topLeftCell="B6" activePane="bottomRight" state="frozen"/>
      <selection pane="topRight" activeCell="B1" sqref="B1"/>
      <selection pane="bottomLeft" activeCell="A6" sqref="A6"/>
      <selection pane="bottomRight" activeCell="C6" sqref="C6"/>
    </sheetView>
  </sheetViews>
  <sheetFormatPr defaultColWidth="0" defaultRowHeight="12.75" x14ac:dyDescent="0.2"/>
  <cols>
    <col min="1" max="1" width="0.7109375" customWidth="1"/>
    <col min="2" max="2" width="11.28515625" customWidth="1"/>
    <col min="3" max="3" width="10.140625" customWidth="1"/>
    <col min="4" max="4" width="19.7109375" customWidth="1"/>
    <col min="5" max="5" width="12.28515625" hidden="1" customWidth="1"/>
    <col min="6" max="6" width="125.5703125" customWidth="1"/>
    <col min="7" max="7" width="7.85546875" customWidth="1"/>
    <col min="8" max="8" width="14.7109375" customWidth="1"/>
    <col min="9" max="10" width="20.140625" customWidth="1"/>
    <col min="11" max="11" width="17.28515625" hidden="1" customWidth="1"/>
    <col min="12" max="12" width="44.140625" customWidth="1"/>
    <col min="13" max="13" width="13.140625" hidden="1" customWidth="1"/>
    <col min="14" max="15" width="9.5703125" hidden="1" customWidth="1"/>
    <col min="16" max="18" width="15" hidden="1" customWidth="1"/>
    <col min="19" max="16384" width="9.140625" hidden="1"/>
  </cols>
  <sheetData>
    <row r="1" spans="2:15" ht="3" customHeight="1" x14ac:dyDescent="0.2"/>
    <row r="2" spans="2:15" x14ac:dyDescent="0.2">
      <c r="B2" s="7" t="str" cm="1">
        <f t="array" ref="B2">cfgCompName[]&amp;" | "&amp;cfgCompAdrs[]</f>
        <v>PT SimAcc Consulting | Jl. xxx, Jakarta</v>
      </c>
      <c r="C2" s="5"/>
      <c r="D2" s="5"/>
      <c r="E2" s="5"/>
      <c r="F2" s="6"/>
      <c r="G2" s="6" t="s">
        <v>30</v>
      </c>
      <c r="H2" s="56">
        <f>SUBTOTAL(9,tbGj[_amount])</f>
        <v>0</v>
      </c>
      <c r="I2" s="57">
        <f>COUNTBLANK(tbGj[CoaCode])</f>
        <v>6</v>
      </c>
      <c r="J2" s="56">
        <f>COUNTBLANK(tbGj[CosCode])</f>
        <v>6</v>
      </c>
      <c r="K2" s="5"/>
      <c r="L2" s="5"/>
    </row>
    <row r="3" spans="2:15" ht="15.75" x14ac:dyDescent="0.25">
      <c r="B3" s="8" t="s">
        <v>70</v>
      </c>
      <c r="C3" s="5"/>
      <c r="D3" s="5"/>
      <c r="E3" s="5"/>
      <c r="F3" s="5"/>
      <c r="G3" s="6"/>
      <c r="H3" s="30"/>
      <c r="I3" s="49" t="s">
        <v>84</v>
      </c>
      <c r="J3" s="31"/>
      <c r="K3" s="31"/>
      <c r="L3" s="32"/>
    </row>
    <row r="4" spans="2:15" ht="3" customHeight="1" x14ac:dyDescent="0.2"/>
    <row r="5" spans="2:15" x14ac:dyDescent="0.2">
      <c r="B5" s="2" t="s">
        <v>25</v>
      </c>
      <c r="C5" s="2" t="s">
        <v>26</v>
      </c>
      <c r="D5" s="2" t="s">
        <v>27</v>
      </c>
      <c r="E5" s="2" t="s">
        <v>69</v>
      </c>
      <c r="F5" s="2" t="s">
        <v>15</v>
      </c>
      <c r="G5" s="2" t="s">
        <v>45</v>
      </c>
      <c r="H5" s="2" t="s">
        <v>28</v>
      </c>
      <c r="I5" s="2" t="s">
        <v>39</v>
      </c>
      <c r="J5" s="2" t="s">
        <v>40</v>
      </c>
      <c r="K5" s="2" t="s">
        <v>32</v>
      </c>
      <c r="L5" s="2" t="s">
        <v>29</v>
      </c>
      <c r="M5" s="2" t="s">
        <v>41</v>
      </c>
      <c r="N5" s="2" t="s">
        <v>46</v>
      </c>
      <c r="O5" s="2" t="s">
        <v>102</v>
      </c>
    </row>
    <row r="6" spans="2:15" x14ac:dyDescent="0.2">
      <c r="B6" s="12"/>
      <c r="C6" s="20"/>
      <c r="D6" s="20"/>
      <c r="E6" s="20"/>
      <c r="F6" s="36"/>
      <c r="G6" s="20"/>
      <c r="H6" s="13"/>
      <c r="I6" s="87"/>
      <c r="J6" s="87"/>
      <c r="K6" s="10">
        <f>(tbGj[[#This Row],[d/c]]="debit")*2*tbGj[[#This Row],[Amount]]-tbGj[[#This Row],[Amount]]</f>
        <v>0</v>
      </c>
      <c r="L6" s="14"/>
      <c r="M6" s="14" t="e">
        <f>INDEX(tbCoa[CosNum],MATCH(tbGj[[#This Row],[CoaCode]],tbCoa[Code],0))</f>
        <v>#N/A</v>
      </c>
      <c r="N6" s="14" t="e">
        <f>INDEX(tbCos[Number],MATCH(tbGj[[#This Row],[CosCode]],tbCos[Code],0))=tbGj[[#This Row],[CosGroup]]</f>
        <v>#N/A</v>
      </c>
      <c r="O6" s="14" t="e">
        <f>(INDEX(tbCoa[Cf],MATCH(tbGj[[#This Row],[CoaCode]],tbCoa[Code],0))="#cash")+ERROR.TYPE(tbGj[[#This Row],[_val1]])+(tbGj[[#This Row],[CosCode]]="")=9</f>
        <v>#N/A</v>
      </c>
    </row>
    <row r="7" spans="2:15" x14ac:dyDescent="0.2">
      <c r="B7" s="12"/>
      <c r="C7" s="20"/>
      <c r="D7" s="20"/>
      <c r="E7" s="20"/>
      <c r="F7" s="36"/>
      <c r="G7" s="20"/>
      <c r="H7" s="13"/>
      <c r="I7" s="87"/>
      <c r="J7" s="87"/>
      <c r="K7" s="10">
        <f>(tbGj[[#This Row],[d/c]]="debit")*2*tbGj[[#This Row],[Amount]]-tbGj[[#This Row],[Amount]]</f>
        <v>0</v>
      </c>
      <c r="L7" s="14"/>
      <c r="M7" s="14" t="e">
        <f>INDEX(tbCoa[CosNum],MATCH(tbGj[[#This Row],[CoaCode]],tbCoa[Code],0))</f>
        <v>#N/A</v>
      </c>
      <c r="N7" s="14" t="e">
        <f>INDEX(tbCos[Number],MATCH(tbGj[[#This Row],[CosCode]],tbCos[Code],0))=tbGj[[#This Row],[CosGroup]]</f>
        <v>#N/A</v>
      </c>
      <c r="O7" s="14" t="e">
        <f>(INDEX(tbCoa[Cf],MATCH(tbGj[[#This Row],[CoaCode]],tbCoa[Code],0))="#cash")+ERROR.TYPE(tbGj[[#This Row],[_val1]])+(tbGj[[#This Row],[CosCode]]="")=9</f>
        <v>#N/A</v>
      </c>
    </row>
    <row r="8" spans="2:15" x14ac:dyDescent="0.2">
      <c r="B8" s="12"/>
      <c r="C8" s="20"/>
      <c r="D8" s="20"/>
      <c r="E8" s="20"/>
      <c r="F8" s="36"/>
      <c r="G8" s="20"/>
      <c r="H8" s="13"/>
      <c r="I8" s="87"/>
      <c r="J8" s="87"/>
      <c r="K8" s="10">
        <f>(tbGj[[#This Row],[d/c]]="debit")*2*tbGj[[#This Row],[Amount]]-tbGj[[#This Row],[Amount]]</f>
        <v>0</v>
      </c>
      <c r="L8" s="14"/>
      <c r="M8" s="14" t="e">
        <f>INDEX(tbCoa[CosNum],MATCH(tbGj[[#This Row],[CoaCode]],tbCoa[Code],0))</f>
        <v>#N/A</v>
      </c>
      <c r="N8" s="14" t="e">
        <f>INDEX(tbCos[Number],MATCH(tbGj[[#This Row],[CosCode]],tbCos[Code],0))=tbGj[[#This Row],[CosGroup]]</f>
        <v>#N/A</v>
      </c>
      <c r="O8" s="14" t="e">
        <f>(INDEX(tbCoa[Cf],MATCH(tbGj[[#This Row],[CoaCode]],tbCoa[Code],0))="#cash")+ERROR.TYPE(tbGj[[#This Row],[_val1]])+(tbGj[[#This Row],[CosCode]]="")=9</f>
        <v>#N/A</v>
      </c>
    </row>
    <row r="9" spans="2:15" x14ac:dyDescent="0.2">
      <c r="B9" s="12"/>
      <c r="C9" s="20"/>
      <c r="D9" s="20"/>
      <c r="E9" s="20"/>
      <c r="F9" s="36"/>
      <c r="G9" s="20"/>
      <c r="H9" s="13"/>
      <c r="I9" s="87"/>
      <c r="J9" s="87"/>
      <c r="K9" s="10">
        <f>(tbGj[[#This Row],[d/c]]="debit")*2*tbGj[[#This Row],[Amount]]-tbGj[[#This Row],[Amount]]</f>
        <v>0</v>
      </c>
      <c r="L9" s="14"/>
      <c r="M9" s="14" t="e">
        <f>INDEX(tbCoa[CosNum],MATCH(tbGj[[#This Row],[CoaCode]],tbCoa[Code],0))</f>
        <v>#N/A</v>
      </c>
      <c r="N9" s="14" t="e">
        <f>INDEX(tbCos[Number],MATCH(tbGj[[#This Row],[CosCode]],tbCos[Code],0))=tbGj[[#This Row],[CosGroup]]</f>
        <v>#N/A</v>
      </c>
      <c r="O9" s="14" t="e">
        <f>(INDEX(tbCoa[Cf],MATCH(tbGj[[#This Row],[CoaCode]],tbCoa[Code],0))="#cash")+ERROR.TYPE(tbGj[[#This Row],[_val1]])+(tbGj[[#This Row],[CosCode]]="")=9</f>
        <v>#N/A</v>
      </c>
    </row>
    <row r="10" spans="2:15" x14ac:dyDescent="0.2">
      <c r="B10" s="12"/>
      <c r="C10" s="20"/>
      <c r="D10" s="20"/>
      <c r="E10" s="20"/>
      <c r="F10" s="36"/>
      <c r="G10" s="20"/>
      <c r="H10" s="13"/>
      <c r="I10" s="87"/>
      <c r="J10" s="87"/>
      <c r="K10" s="10">
        <f>(tbGj[[#This Row],[d/c]]="debit")*2*tbGj[[#This Row],[Amount]]-tbGj[[#This Row],[Amount]]</f>
        <v>0</v>
      </c>
      <c r="L10" s="14"/>
      <c r="M10" s="14" t="e">
        <f>INDEX(tbCoa[CosNum],MATCH(tbGj[[#This Row],[CoaCode]],tbCoa[Code],0))</f>
        <v>#N/A</v>
      </c>
      <c r="N10" s="14" t="e">
        <f>INDEX(tbCos[Number],MATCH(tbGj[[#This Row],[CosCode]],tbCos[Code],0))=tbGj[[#This Row],[CosGroup]]</f>
        <v>#N/A</v>
      </c>
      <c r="O10" s="14" t="e">
        <f>(INDEX(tbCoa[Cf],MATCH(tbGj[[#This Row],[CoaCode]],tbCoa[Code],0))="#cash")+ERROR.TYPE(tbGj[[#This Row],[_val1]])+(tbGj[[#This Row],[CosCode]]="")=9</f>
        <v>#N/A</v>
      </c>
    </row>
    <row r="11" spans="2:15" x14ac:dyDescent="0.2">
      <c r="B11" s="12"/>
      <c r="C11" s="20"/>
      <c r="D11" s="20"/>
      <c r="E11" s="20"/>
      <c r="F11" s="36"/>
      <c r="G11" s="20"/>
      <c r="H11" s="13"/>
      <c r="I11" s="87"/>
      <c r="J11" s="87"/>
      <c r="K11" s="10">
        <f>(tbGj[[#This Row],[d/c]]="debit")*2*tbGj[[#This Row],[Amount]]-tbGj[[#This Row],[Amount]]</f>
        <v>0</v>
      </c>
      <c r="L11" s="14"/>
      <c r="M11" s="14" t="e">
        <f>INDEX(tbCoa[CosNum],MATCH(tbGj[[#This Row],[CoaCode]],tbCoa[Code],0))</f>
        <v>#N/A</v>
      </c>
      <c r="N11" s="14" t="e">
        <f>INDEX(tbCos[Number],MATCH(tbGj[[#This Row],[CosCode]],tbCos[Code],0))=tbGj[[#This Row],[CosGroup]]</f>
        <v>#N/A</v>
      </c>
      <c r="O11" s="14" t="e">
        <f>(INDEX(tbCoa[Cf],MATCH(tbGj[[#This Row],[CoaCode]],tbCoa[Code],0))="#cash")+ERROR.TYPE(tbGj[[#This Row],[_val1]])+(tbGj[[#This Row],[CosCode]]="")=9</f>
        <v>#N/A</v>
      </c>
    </row>
  </sheetData>
  <sheetProtection algorithmName="SHA-512" hashValue="/0BDcVPXz80eKd7wJEfN5v6vk+5smsAb8VrIfAVVEOOpWewi714wdKtPOm/wnoR7m4JmbMjmnvezpglDu73s4g==" saltValue="kHIb006Kk4E3jy/ticN90w==" spinCount="100000" sheet="1" formatCells="0" formatColumns="0" formatRows="0" insertRows="0" deleteRows="0" autoFilter="0"/>
  <conditionalFormatting sqref="G6:H11">
    <cfRule type="cellIs" dxfId="72" priority="25" operator="equal">
      <formula>"credit"</formula>
    </cfRule>
    <cfRule type="cellIs" dxfId="71" priority="26" operator="equal">
      <formula>"debit"</formula>
    </cfRule>
  </conditionalFormatting>
  <conditionalFormatting sqref="I6:I11">
    <cfRule type="cellIs" dxfId="70" priority="12" operator="notEqual">
      <formula>""</formula>
    </cfRule>
  </conditionalFormatting>
  <conditionalFormatting sqref="J6:J11">
    <cfRule type="expression" dxfId="69" priority="1">
      <formula>$O6=FALSE</formula>
    </cfRule>
    <cfRule type="expression" dxfId="68" priority="2">
      <formula>$O6=TRUE</formula>
    </cfRule>
    <cfRule type="expression" dxfId="67" priority="6">
      <formula>N6=FALSE</formula>
    </cfRule>
    <cfRule type="cellIs" dxfId="66" priority="11" operator="notEqual">
      <formula>""</formula>
    </cfRule>
  </conditionalFormatting>
  <conditionalFormatting sqref="H2">
    <cfRule type="cellIs" dxfId="65" priority="9" operator="between">
      <formula>-50</formula>
      <formula>50</formula>
    </cfRule>
  </conditionalFormatting>
  <conditionalFormatting sqref="I2">
    <cfRule type="cellIs" dxfId="64" priority="8" operator="equal">
      <formula>0</formula>
    </cfRule>
  </conditionalFormatting>
  <conditionalFormatting sqref="J2">
    <cfRule type="cellIs" dxfId="63" priority="7" operator="equal">
      <formula>0</formula>
    </cfRule>
  </conditionalFormatting>
  <dataValidations count="5">
    <dataValidation type="list" allowBlank="1" showInputMessage="1" showErrorMessage="1" sqref="G6:G11" xr:uid="{64DDA28E-A02E-4A03-BFE7-1AB760F99A3A}">
      <formula1>"debit,credit"</formula1>
    </dataValidation>
    <dataValidation type="list" allowBlank="1" showInputMessage="1" showErrorMessage="1" sqref="C6:C11" xr:uid="{72972850-03EC-43BD-A7F4-9EB9FFC1FB9A}">
      <formula1>_batch</formula1>
    </dataValidation>
    <dataValidation type="list" allowBlank="1" showInputMessage="1" showErrorMessage="1" sqref="J6:J11" xr:uid="{4B81088B-9FEA-44C9-9A96-4A3C93C914D5}">
      <formula1>_cosDynCode</formula1>
    </dataValidation>
    <dataValidation type="list" allowBlank="1" showInputMessage="1" showErrorMessage="1" sqref="I6:I11" xr:uid="{97E033B1-B32A-40A8-B840-BCA6475BE78D}">
      <formula1>_coaDynCode</formula1>
    </dataValidation>
    <dataValidation type="decimal" operator="greaterThan" allowBlank="1" showInputMessage="1" showErrorMessage="1" sqref="H6:H11" xr:uid="{975548DB-C894-4029-8713-644681F5933D}">
      <formula1>-0.9</formula1>
    </dataValidation>
  </dataValidations>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3" id="{005C838C-AA27-4860-B234-EE45011887CD}">
            <xm:f>$I6=cfg!$C$14</xm:f>
            <x14:dxf>
              <fill>
                <patternFill>
                  <bgColor rgb="FFF3D1E8"/>
                </patternFill>
              </fill>
            </x14:dxf>
          </x14:cfRule>
          <xm:sqref>I6:I11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62BA2-4C9F-44E9-914E-2C87D6113E34}">
  <sheetPr codeName="sh_cos">
    <tabColor rgb="FFC6E08C"/>
  </sheetPr>
  <dimension ref="B1:H12"/>
  <sheetViews>
    <sheetView showGridLines="0" zoomScale="130" zoomScaleNormal="130" workbookViewId="0">
      <pane xSplit="1" ySplit="5" topLeftCell="B6" activePane="bottomRight" state="frozen"/>
      <selection pane="topRight" activeCell="B1" sqref="B1"/>
      <selection pane="bottomLeft" activeCell="A6" sqref="A6"/>
      <selection pane="bottomRight" activeCell="E11" sqref="E11"/>
    </sheetView>
  </sheetViews>
  <sheetFormatPr defaultRowHeight="12.75" x14ac:dyDescent="0.2"/>
  <cols>
    <col min="1" max="1" width="0.7109375" customWidth="1"/>
    <col min="2" max="2" width="4.85546875" customWidth="1"/>
    <col min="3" max="3" width="9.85546875" bestFit="1" customWidth="1"/>
    <col min="4" max="4" width="16.42578125" customWidth="1"/>
    <col min="5" max="5" width="95.42578125" customWidth="1"/>
    <col min="6" max="6" width="10.42578125" bestFit="1" customWidth="1"/>
    <col min="7" max="7" width="10.42578125" customWidth="1"/>
    <col min="8" max="8" width="16.7109375" customWidth="1"/>
    <col min="9" max="9" width="10.42578125" bestFit="1" customWidth="1"/>
  </cols>
  <sheetData>
    <row r="1" spans="2:8" ht="3" customHeight="1" x14ac:dyDescent="0.2"/>
    <row r="2" spans="2:8" ht="15" x14ac:dyDescent="0.25">
      <c r="B2" s="15" t="str" cm="1">
        <f t="array" ref="B2">cfgCompName[]</f>
        <v>PT SimAcc Consulting</v>
      </c>
      <c r="C2" s="16"/>
      <c r="D2" s="15"/>
      <c r="E2" s="15"/>
      <c r="F2" s="15"/>
      <c r="G2" s="15"/>
      <c r="H2" s="15"/>
    </row>
    <row r="3" spans="2:8" ht="15.75" x14ac:dyDescent="0.25">
      <c r="B3" s="17" t="s">
        <v>38</v>
      </c>
      <c r="C3" s="15"/>
      <c r="D3" s="15"/>
      <c r="E3" s="15"/>
      <c r="F3" s="15"/>
      <c r="G3" s="15"/>
      <c r="H3" s="15"/>
    </row>
    <row r="4" spans="2:8" ht="3" customHeight="1" x14ac:dyDescent="0.2"/>
    <row r="5" spans="2:8" x14ac:dyDescent="0.2">
      <c r="B5" s="2" t="s">
        <v>1</v>
      </c>
      <c r="C5" t="s">
        <v>12</v>
      </c>
      <c r="D5" s="2" t="s">
        <v>4</v>
      </c>
      <c r="E5" s="2" t="s">
        <v>7</v>
      </c>
      <c r="F5" s="2" t="s">
        <v>0</v>
      </c>
      <c r="G5" s="2" t="s">
        <v>9</v>
      </c>
      <c r="H5" t="s">
        <v>3</v>
      </c>
    </row>
    <row r="6" spans="2:8" x14ac:dyDescent="0.2">
      <c r="B6" s="1">
        <v>1</v>
      </c>
      <c r="C6">
        <v>0</v>
      </c>
      <c r="D6" t="s">
        <v>42</v>
      </c>
      <c r="E6" t="s">
        <v>80</v>
      </c>
      <c r="F6" t="s">
        <v>42</v>
      </c>
      <c r="G6" t="s">
        <v>11</v>
      </c>
      <c r="H6" t="s">
        <v>80</v>
      </c>
    </row>
    <row r="7" spans="2:8" x14ac:dyDescent="0.2">
      <c r="B7" s="1">
        <v>2</v>
      </c>
      <c r="C7">
        <v>1</v>
      </c>
      <c r="F7" t="s">
        <v>36</v>
      </c>
      <c r="G7" t="s">
        <v>11</v>
      </c>
    </row>
    <row r="8" spans="2:8" x14ac:dyDescent="0.2">
      <c r="B8" s="1">
        <v>3</v>
      </c>
      <c r="C8">
        <v>1</v>
      </c>
      <c r="F8" t="s">
        <v>36</v>
      </c>
      <c r="G8" t="s">
        <v>11</v>
      </c>
    </row>
    <row r="9" spans="2:8" x14ac:dyDescent="0.2">
      <c r="B9" s="1">
        <v>4</v>
      </c>
      <c r="C9">
        <v>1</v>
      </c>
      <c r="F9" t="s">
        <v>36</v>
      </c>
      <c r="G9" t="s">
        <v>11</v>
      </c>
    </row>
    <row r="10" spans="2:8" x14ac:dyDescent="0.2">
      <c r="B10" s="1">
        <v>5</v>
      </c>
      <c r="C10">
        <v>2</v>
      </c>
      <c r="F10" t="s">
        <v>37</v>
      </c>
      <c r="G10" t="s">
        <v>11</v>
      </c>
    </row>
    <row r="11" spans="2:8" x14ac:dyDescent="0.2">
      <c r="B11" s="1">
        <v>6</v>
      </c>
      <c r="C11">
        <v>2</v>
      </c>
      <c r="F11" t="s">
        <v>37</v>
      </c>
      <c r="G11" t="s">
        <v>11</v>
      </c>
    </row>
    <row r="12" spans="2:8" x14ac:dyDescent="0.2">
      <c r="B12" s="1">
        <v>7</v>
      </c>
      <c r="C12">
        <v>2</v>
      </c>
      <c r="F12" t="s">
        <v>37</v>
      </c>
      <c r="G12" t="s">
        <v>11</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EAB95-26BA-4F82-BBD5-FEC727370DAB}">
  <sheetPr codeName="sh_led">
    <tabColor rgb="FF00DBD6"/>
    <pageSetUpPr fitToPage="1"/>
  </sheetPr>
  <dimension ref="A1:K9"/>
  <sheetViews>
    <sheetView showGridLines="0" zoomScale="120" zoomScaleNormal="120" workbookViewId="0">
      <pane xSplit="1" ySplit="8" topLeftCell="B9" activePane="bottomRight" state="frozen"/>
      <selection pane="topRight" activeCell="B1" sqref="B1"/>
      <selection pane="bottomLeft" activeCell="A7" sqref="A7"/>
      <selection pane="bottomRight" activeCell="B9" sqref="B9"/>
    </sheetView>
  </sheetViews>
  <sheetFormatPr defaultColWidth="0" defaultRowHeight="12.75" x14ac:dyDescent="0.2"/>
  <cols>
    <col min="1" max="1" width="0.85546875" style="11" customWidth="1"/>
    <col min="2" max="2" width="11.7109375" style="12" customWidth="1"/>
    <col min="3" max="3" width="21.5703125" style="11" customWidth="1"/>
    <col min="4" max="4" width="28" style="74" customWidth="1"/>
    <col min="5" max="5" width="194.42578125" style="11" customWidth="1"/>
    <col min="6" max="6" width="6.7109375" style="11" customWidth="1"/>
    <col min="7" max="7" width="16.140625" style="75" customWidth="1"/>
    <col min="8" max="8" width="16.140625" style="51" customWidth="1"/>
    <col min="9" max="9" width="0.7109375" style="11" customWidth="1"/>
    <col min="10" max="10" width="9.140625" style="11" hidden="1" customWidth="1"/>
    <col min="11" max="11" width="10" style="11" hidden="1" customWidth="1"/>
    <col min="12" max="16384" width="9.140625" style="11" hidden="1"/>
  </cols>
  <sheetData>
    <row r="1" spans="2:9" x14ac:dyDescent="0.2">
      <c r="B1" s="58" t="str" cm="1">
        <f t="array" ref="B1">cfgCompName[]</f>
        <v>PT SimAcc Consulting</v>
      </c>
      <c r="C1" s="58"/>
      <c r="D1" s="59"/>
      <c r="E1" s="77" t="s">
        <v>86</v>
      </c>
      <c r="F1" s="59"/>
      <c r="G1" s="59"/>
      <c r="H1" s="59"/>
    </row>
    <row r="2" spans="2:9" ht="15.75" x14ac:dyDescent="0.2">
      <c r="B2" s="60" t="e">
        <f>_xlfn.IFNA(CHOOSE(INDEX(tbCos[Number],MATCH(ledMode,tbCos[Group],0))+1,"#Void","Cost Center","Business Partner","Cash Flow"),"Transaction Ledger")&amp;" | "&amp;IF(ledMode="tb",INDEX(tbCoa[Ori Name],MATCH(ledCode,tbCoa[Code],0)),INDEX(tbCos[Account Name],MATCH(ledCode,tbCos[Code],0)))</f>
        <v>#N/A</v>
      </c>
      <c r="C2" s="58"/>
      <c r="D2" s="59"/>
      <c r="E2" s="77"/>
      <c r="F2" s="59"/>
      <c r="G2" s="61" t="s">
        <v>54</v>
      </c>
      <c r="H2" s="62">
        <f>IF(ledMode="tb",SUMIFS(tbGj[_amount],tbGj[Date],"&lt;"&amp;ledStartDate,tbGj[CoaCode],ledCode),SUMIFS(tbGj[_amount],tbGj[Date],"&lt;"&amp;ledStartDate,tbGj[CosCode],ledCode))</f>
        <v>0</v>
      </c>
    </row>
    <row r="3" spans="2:9" x14ac:dyDescent="0.2">
      <c r="B3" s="63" t="s">
        <v>48</v>
      </c>
      <c r="C3" s="64" t="s">
        <v>97</v>
      </c>
      <c r="D3" s="59"/>
      <c r="E3" s="59"/>
      <c r="F3" s="59"/>
      <c r="G3" s="65" t="s">
        <v>52</v>
      </c>
      <c r="H3" s="66">
        <f>SUMIF(F9:F36,"debit",G9:G36)</f>
        <v>0</v>
      </c>
    </row>
    <row r="4" spans="2:9" x14ac:dyDescent="0.2">
      <c r="B4" s="63" t="s">
        <v>50</v>
      </c>
      <c r="C4" s="67">
        <v>45658</v>
      </c>
      <c r="D4" s="59"/>
      <c r="E4" s="59"/>
      <c r="F4" s="59"/>
      <c r="G4" s="65" t="s">
        <v>53</v>
      </c>
      <c r="H4" s="66">
        <f>-SUMIF(F9:F36,"credit",G9:G36)</f>
        <v>0</v>
      </c>
    </row>
    <row r="5" spans="2:9" x14ac:dyDescent="0.2">
      <c r="B5" s="63" t="s">
        <v>51</v>
      </c>
      <c r="C5" s="67">
        <v>45687</v>
      </c>
      <c r="D5" s="59"/>
      <c r="E5" s="59"/>
      <c r="F5" s="59"/>
      <c r="G5" s="68" t="s">
        <v>56</v>
      </c>
      <c r="H5" s="69">
        <f>SUM(H3:H4)</f>
        <v>0</v>
      </c>
    </row>
    <row r="6" spans="2:9" x14ac:dyDescent="0.2">
      <c r="B6" s="70" t="s">
        <v>49</v>
      </c>
      <c r="C6" s="71" t="s">
        <v>67</v>
      </c>
      <c r="D6" s="59" t="str">
        <f>"found: "&amp;TEXT(COUNT(B9:B36),"#,##0")&amp;" transactions"</f>
        <v>found: 0 transactions</v>
      </c>
      <c r="E6" s="59"/>
      <c r="F6" s="59"/>
      <c r="G6" s="72" t="s">
        <v>55</v>
      </c>
      <c r="H6" s="73">
        <f>H2+H5</f>
        <v>0</v>
      </c>
    </row>
    <row r="7" spans="2:9" ht="2.25" customHeight="1" x14ac:dyDescent="0.2">
      <c r="B7" s="11"/>
      <c r="D7" s="11"/>
      <c r="G7" s="11"/>
      <c r="H7" s="11"/>
    </row>
    <row r="8" spans="2:9" x14ac:dyDescent="0.2">
      <c r="B8" s="21" t="s">
        <v>25</v>
      </c>
      <c r="C8" s="21" t="s">
        <v>26</v>
      </c>
      <c r="D8" s="21" t="s">
        <v>27</v>
      </c>
      <c r="E8" s="21" t="s">
        <v>15</v>
      </c>
      <c r="F8" s="21" t="s">
        <v>45</v>
      </c>
      <c r="G8" s="21" t="s">
        <v>28</v>
      </c>
      <c r="H8" s="21" t="s">
        <v>47</v>
      </c>
      <c r="I8" s="2"/>
    </row>
    <row r="9" spans="2:9" x14ac:dyDescent="0.2">
      <c r="B9" s="12" t="str" cm="1">
        <f t="array" ref="B9">_xlfn.LET(_xlpm.tcols,"1,2,3,5,6,7",_xlpm.tbal,10,IF(ledMode="tb",LEDGER(tbGj[],tbGj[CoaCode],ledCode,tbGj[Date],ledStartDate,ledEndDate,_xlpm.tcols,_xlpm.tbal,begBal),LEDGER(tbGj[],tbGj[CosCode],ledCode,tbGj[Date],ledStartDate,ledEndDate,_xlpm.tcols,_xlpm.tbal,begBal)))</f>
        <v>#[no data found  for: bank (from 01 January 2025 to 30 January 2025)]!</v>
      </c>
    </row>
  </sheetData>
  <autoFilter ref="B8:H36" xr:uid="{F73EAB95-26BA-4F82-BBD5-FEC727370DAB}"/>
  <conditionalFormatting sqref="B9:H99999">
    <cfRule type="cellIs" dxfId="39" priority="4" operator="notEqual">
      <formula>""</formula>
    </cfRule>
  </conditionalFormatting>
  <conditionalFormatting sqref="B9:H9">
    <cfRule type="expression" dxfId="38" priority="5">
      <formula>$B9&lt;&gt;""</formula>
    </cfRule>
  </conditionalFormatting>
  <conditionalFormatting sqref="F9:F99999">
    <cfRule type="cellIs" dxfId="37" priority="2" operator="equal">
      <formula>"credit"</formula>
    </cfRule>
    <cfRule type="cellIs" dxfId="36" priority="3" operator="equal">
      <formula>"debit"</formula>
    </cfRule>
  </conditionalFormatting>
  <conditionalFormatting sqref="C6">
    <cfRule type="cellIs" dxfId="35" priority="1" operator="equal">
      <formula>""</formula>
    </cfRule>
  </conditionalFormatting>
  <dataValidations count="2">
    <dataValidation type="list" allowBlank="1" showInputMessage="1" showErrorMessage="1" sqref="C6" xr:uid="{91A6A8D5-7440-48CA-B689-655F5B850EE1}">
      <formula1>_allDynCode</formula1>
    </dataValidation>
    <dataValidation type="list" allowBlank="1" showInputMessage="1" showErrorMessage="1" sqref="C3" xr:uid="{C01C7DD1-6BA8-4D63-A0A0-D9D813CF2128}">
      <formula1>"tb,cf,sub,cc"</formula1>
    </dataValidation>
  </dataValidations>
  <pageMargins left="0.45" right="0.2" top="0.25" bottom="0.25" header="0.3" footer="0.3"/>
  <pageSetup paperSize="8" scale="7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0B933-DB89-4AC0-AC30-EC4A5E13CC26}">
  <sheetPr codeName="sh_tb">
    <tabColor rgb="FFF6ACCD"/>
  </sheetPr>
  <dimension ref="A1:R53"/>
  <sheetViews>
    <sheetView showGridLines="0" zoomScale="110" zoomScaleNormal="110" workbookViewId="0">
      <pane xSplit="1" ySplit="5" topLeftCell="B6" activePane="bottomRight" state="frozen"/>
      <selection pane="topRight" activeCell="B1" sqref="B1"/>
      <selection pane="bottomLeft" activeCell="A6" sqref="A6"/>
      <selection pane="bottomRight" activeCell="K3" sqref="K3"/>
    </sheetView>
  </sheetViews>
  <sheetFormatPr defaultColWidth="0" defaultRowHeight="12.75" x14ac:dyDescent="0.2"/>
  <cols>
    <col min="1" max="1" width="0.85546875" customWidth="1"/>
    <col min="2" max="2" width="5.28515625" customWidth="1"/>
    <col min="3" max="3" width="10.7109375" customWidth="1"/>
    <col min="4" max="4" width="20.7109375" customWidth="1"/>
    <col min="5" max="5" width="54" customWidth="1"/>
    <col min="6" max="6" width="7.85546875" customWidth="1"/>
    <col min="7" max="7" width="15.28515625" customWidth="1"/>
    <col min="8" max="8" width="26" customWidth="1"/>
    <col min="9" max="9" width="8.28515625" customWidth="1"/>
    <col min="10" max="16" width="17" customWidth="1"/>
    <col min="17" max="17" width="56.5703125" customWidth="1"/>
    <col min="18" max="18" width="0.7109375" customWidth="1"/>
    <col min="19" max="16384" width="9.140625" hidden="1"/>
  </cols>
  <sheetData>
    <row r="1" spans="2:17" ht="3" customHeight="1" x14ac:dyDescent="0.2"/>
    <row r="2" spans="2:17" ht="15" x14ac:dyDescent="0.25">
      <c r="B2" s="22" t="str" cm="1">
        <f t="array" ref="B2">cfgCompName[]</f>
        <v>PT SimAcc Consulting</v>
      </c>
      <c r="C2" s="23"/>
      <c r="D2" s="23"/>
      <c r="E2" s="23"/>
      <c r="F2" s="23"/>
      <c r="G2" s="23"/>
      <c r="H2" s="23"/>
      <c r="I2" s="23"/>
      <c r="J2" s="26" t="s">
        <v>64</v>
      </c>
      <c r="K2" s="28">
        <f>COUNTA(tbTB[Code])-COUNTA(tbCoa[Code])</f>
        <v>48</v>
      </c>
      <c r="L2" s="26" t="s">
        <v>62</v>
      </c>
      <c r="M2" s="25">
        <v>45870</v>
      </c>
      <c r="N2" s="26" t="s">
        <v>63</v>
      </c>
      <c r="O2" s="23"/>
      <c r="P2" s="23"/>
      <c r="Q2" s="23"/>
    </row>
    <row r="3" spans="2:17" ht="15.75" x14ac:dyDescent="0.25">
      <c r="B3" s="24" t="s">
        <v>65</v>
      </c>
      <c r="C3" s="23"/>
      <c r="D3" s="23"/>
      <c r="E3" s="23"/>
      <c r="F3" s="23"/>
      <c r="G3" s="23"/>
      <c r="H3" s="23"/>
      <c r="I3" s="23"/>
      <c r="J3" s="26" t="s">
        <v>73</v>
      </c>
      <c r="K3" s="54">
        <f>SUMIF(tbTB[Rep],"IS",tbTB[Mutation])</f>
        <v>0</v>
      </c>
      <c r="L3" s="26" t="s">
        <v>61</v>
      </c>
      <c r="M3" s="25">
        <v>45900</v>
      </c>
      <c r="N3" s="29">
        <f>SUM(tbTB[Ending Balance])</f>
        <v>0</v>
      </c>
      <c r="O3" s="26" t="s">
        <v>83</v>
      </c>
      <c r="P3" s="48">
        <f>SUM(tbTB[Variance])</f>
        <v>0</v>
      </c>
      <c r="Q3" s="23"/>
    </row>
    <row r="4" spans="2:17" ht="3.75" customHeight="1" x14ac:dyDescent="0.2"/>
    <row r="5" spans="2:17" x14ac:dyDescent="0.2">
      <c r="B5" s="2" t="s">
        <v>1</v>
      </c>
      <c r="C5" s="2" t="s">
        <v>12</v>
      </c>
      <c r="D5" s="2" t="s">
        <v>4</v>
      </c>
      <c r="E5" s="2" t="s">
        <v>7</v>
      </c>
      <c r="F5" s="2" t="s">
        <v>9</v>
      </c>
      <c r="G5" s="2" t="s">
        <v>3</v>
      </c>
      <c r="H5" s="2" t="s">
        <v>0</v>
      </c>
      <c r="I5" s="2" t="s">
        <v>2</v>
      </c>
      <c r="J5" s="2" t="s">
        <v>31</v>
      </c>
      <c r="K5" s="2" t="s">
        <v>57</v>
      </c>
      <c r="L5" s="2" t="s">
        <v>58</v>
      </c>
      <c r="M5" s="2" t="s">
        <v>59</v>
      </c>
      <c r="N5" s="2" t="s">
        <v>60</v>
      </c>
      <c r="O5" s="2" t="s">
        <v>81</v>
      </c>
      <c r="P5" s="2" t="s">
        <v>82</v>
      </c>
      <c r="Q5" s="2" t="s">
        <v>29</v>
      </c>
    </row>
    <row r="6" spans="2:17" x14ac:dyDescent="0.2">
      <c r="B6" s="50">
        <f>tbCoa[[#This Row],['#]]</f>
        <v>1</v>
      </c>
      <c r="C6" s="50">
        <f>tbCoa[[#This Row],[Number]]</f>
        <v>0</v>
      </c>
      <c r="D6" s="50">
        <f>tbCoa[[#This Row],[Code]]</f>
        <v>0</v>
      </c>
      <c r="E6" s="50">
        <f>tbCoa[[#This Row],[Ori Name]]</f>
        <v>0</v>
      </c>
      <c r="F6" s="50">
        <f>tbCoa[[#This Row],[Status]]</f>
        <v>0</v>
      </c>
      <c r="G6" s="50">
        <f>tbCoa[[#This Row],[Head]]</f>
        <v>0</v>
      </c>
      <c r="H6" s="50">
        <f>tbCoa[[#This Row],[Group]]</f>
        <v>0</v>
      </c>
      <c r="I6" s="50">
        <f>tbCoa[[#This Row],[Rep]]</f>
        <v>0</v>
      </c>
      <c r="J6" s="51">
        <f>SUMIFS(tbGj[_amount],tbGj[Date],"&lt;"&amp;_tbStartDate,tbGj[CoaCode],tbTB[[#This Row],[Code]])</f>
        <v>0</v>
      </c>
      <c r="K6" s="51">
        <f>SUMIFS(tbGj[_amount],tbGj[Date],"&gt;="&amp;_tbStartDate,tbGj[Date],"&lt;="&amp;_tbEndDate,tbGj[CoaCode],tbTB[[#This Row],[Code]],tbGj[d/c],"debit")</f>
        <v>0</v>
      </c>
      <c r="L6" s="51">
        <f>SUMIFS(tbGj[_amount],tbGj[Date],"&gt;="&amp;_tbStartDate,tbGj[Date],"&lt;="&amp;_tbEndDate,tbGj[CoaCode],tbTB[[#This Row],[Code]],tbGj[d/c],"credit")</f>
        <v>0</v>
      </c>
      <c r="M6" s="51">
        <f>SUM(tbTB[[#This Row],[Debit]:[Credit]])</f>
        <v>0</v>
      </c>
      <c r="N6" s="51">
        <f>tbTB[[#This Row],[Opening Balance]]+tbTB[[#This Row],[Mutation]]</f>
        <v>0</v>
      </c>
      <c r="O6" s="51"/>
      <c r="P6" s="52">
        <f>(tbTB[[#This Row],[Reconcile]]&lt;&gt;"")*(tbTB[[#This Row],[Ending Balance]]-tbTB[[#This Row],[Reconcile]])</f>
        <v>0</v>
      </c>
      <c r="Q6" s="53"/>
    </row>
    <row r="7" spans="2:17" x14ac:dyDescent="0.2">
      <c r="B7" s="50">
        <f>tbCoa[[#This Row],['#]]</f>
        <v>2</v>
      </c>
      <c r="C7" s="50">
        <f>tbCoa[[#This Row],[Number]]</f>
        <v>0</v>
      </c>
      <c r="D7" s="50">
        <f>tbCoa[[#This Row],[Code]]</f>
        <v>0</v>
      </c>
      <c r="E7" s="50">
        <f>tbCoa[[#This Row],[Ori Name]]</f>
        <v>0</v>
      </c>
      <c r="F7" s="50">
        <f>tbCoa[[#This Row],[Status]]</f>
        <v>0</v>
      </c>
      <c r="G7" s="50">
        <f>tbCoa[[#This Row],[Head]]</f>
        <v>0</v>
      </c>
      <c r="H7" s="50">
        <f>tbCoa[[#This Row],[Group]]</f>
        <v>0</v>
      </c>
      <c r="I7" s="50">
        <f>tbCoa[[#This Row],[Rep]]</f>
        <v>0</v>
      </c>
      <c r="J7" s="51">
        <f>SUMIFS(tbGj[_amount],tbGj[Date],"&lt;"&amp;_tbStartDate,tbGj[CoaCode],tbTB[[#This Row],[Code]])</f>
        <v>0</v>
      </c>
      <c r="K7" s="51">
        <f>SUMIFS(tbGj[_amount],tbGj[Date],"&gt;="&amp;_tbStartDate,tbGj[Date],"&lt;="&amp;_tbEndDate,tbGj[CoaCode],tbTB[[#This Row],[Code]],tbGj[d/c],"debit")</f>
        <v>0</v>
      </c>
      <c r="L7" s="51">
        <f>SUMIFS(tbGj[_amount],tbGj[Date],"&gt;="&amp;_tbStartDate,tbGj[Date],"&lt;="&amp;_tbEndDate,tbGj[CoaCode],tbTB[[#This Row],[Code]],tbGj[d/c],"credit")</f>
        <v>0</v>
      </c>
      <c r="M7" s="51">
        <f>SUM(tbTB[[#This Row],[Debit]:[Credit]])</f>
        <v>0</v>
      </c>
      <c r="N7" s="51">
        <f>tbTB[[#This Row],[Opening Balance]]+tbTB[[#This Row],[Mutation]]</f>
        <v>0</v>
      </c>
      <c r="O7" s="51"/>
      <c r="P7" s="52">
        <f>(tbTB[[#This Row],[Reconcile]]&lt;&gt;"")*(tbTB[[#This Row],[Ending Balance]]-tbTB[[#This Row],[Reconcile]])</f>
        <v>0</v>
      </c>
      <c r="Q7" s="53"/>
    </row>
    <row r="8" spans="2:17" x14ac:dyDescent="0.2">
      <c r="B8" s="50">
        <f>tbCoa[[#This Row],['#]]</f>
        <v>3</v>
      </c>
      <c r="C8" s="50">
        <f>tbCoa[[#This Row],[Number]]</f>
        <v>0</v>
      </c>
      <c r="D8" s="50">
        <f>tbCoa[[#This Row],[Code]]</f>
        <v>0</v>
      </c>
      <c r="E8" s="50">
        <f>tbCoa[[#This Row],[Ori Name]]</f>
        <v>0</v>
      </c>
      <c r="F8" s="50">
        <f>tbCoa[[#This Row],[Status]]</f>
        <v>0</v>
      </c>
      <c r="G8" s="50">
        <f>tbCoa[[#This Row],[Head]]</f>
        <v>0</v>
      </c>
      <c r="H8" s="50">
        <f>tbCoa[[#This Row],[Group]]</f>
        <v>0</v>
      </c>
      <c r="I8" s="50">
        <f>tbCoa[[#This Row],[Rep]]</f>
        <v>0</v>
      </c>
      <c r="J8" s="51">
        <f>SUMIFS(tbGj[_amount],tbGj[Date],"&lt;"&amp;_tbStartDate,tbGj[CoaCode],tbTB[[#This Row],[Code]])</f>
        <v>0</v>
      </c>
      <c r="K8" s="51">
        <f>SUMIFS(tbGj[_amount],tbGj[Date],"&gt;="&amp;_tbStartDate,tbGj[Date],"&lt;="&amp;_tbEndDate,tbGj[CoaCode],tbTB[[#This Row],[Code]],tbGj[d/c],"debit")</f>
        <v>0</v>
      </c>
      <c r="L8" s="51">
        <f>SUMIFS(tbGj[_amount],tbGj[Date],"&gt;="&amp;_tbStartDate,tbGj[Date],"&lt;="&amp;_tbEndDate,tbGj[CoaCode],tbTB[[#This Row],[Code]],tbGj[d/c],"credit")</f>
        <v>0</v>
      </c>
      <c r="M8" s="51">
        <f>SUM(tbTB[[#This Row],[Debit]:[Credit]])</f>
        <v>0</v>
      </c>
      <c r="N8" s="51">
        <f>tbTB[[#This Row],[Opening Balance]]+tbTB[[#This Row],[Mutation]]</f>
        <v>0</v>
      </c>
      <c r="O8" s="51"/>
      <c r="P8" s="52">
        <f>(tbTB[[#This Row],[Reconcile]]&lt;&gt;"")*(tbTB[[#This Row],[Ending Balance]]-tbTB[[#This Row],[Reconcile]])</f>
        <v>0</v>
      </c>
      <c r="Q8" s="53"/>
    </row>
    <row r="9" spans="2:17" x14ac:dyDescent="0.2">
      <c r="B9" s="50">
        <f>tbCoa[[#This Row],['#]]</f>
        <v>4</v>
      </c>
      <c r="C9" s="50">
        <f>tbCoa[[#This Row],[Number]]</f>
        <v>0</v>
      </c>
      <c r="D9" s="50">
        <f>tbCoa[[#This Row],[Code]]</f>
        <v>0</v>
      </c>
      <c r="E9" s="50">
        <f>tbCoa[[#This Row],[Ori Name]]</f>
        <v>0</v>
      </c>
      <c r="F9" s="50">
        <f>tbCoa[[#This Row],[Status]]</f>
        <v>0</v>
      </c>
      <c r="G9" s="50">
        <f>tbCoa[[#This Row],[Head]]</f>
        <v>0</v>
      </c>
      <c r="H9" s="50">
        <f>tbCoa[[#This Row],[Group]]</f>
        <v>0</v>
      </c>
      <c r="I9" s="50">
        <f>tbCoa[[#This Row],[Rep]]</f>
        <v>0</v>
      </c>
      <c r="J9" s="51">
        <f>SUMIFS(tbGj[_amount],tbGj[Date],"&lt;"&amp;_tbStartDate,tbGj[CoaCode],tbTB[[#This Row],[Code]])</f>
        <v>0</v>
      </c>
      <c r="K9" s="51">
        <f>SUMIFS(tbGj[_amount],tbGj[Date],"&gt;="&amp;_tbStartDate,tbGj[Date],"&lt;="&amp;_tbEndDate,tbGj[CoaCode],tbTB[[#This Row],[Code]],tbGj[d/c],"debit")</f>
        <v>0</v>
      </c>
      <c r="L9" s="51">
        <f>SUMIFS(tbGj[_amount],tbGj[Date],"&gt;="&amp;_tbStartDate,tbGj[Date],"&lt;="&amp;_tbEndDate,tbGj[CoaCode],tbTB[[#This Row],[Code]],tbGj[d/c],"credit")</f>
        <v>0</v>
      </c>
      <c r="M9" s="51">
        <f>SUM(tbTB[[#This Row],[Debit]:[Credit]])</f>
        <v>0</v>
      </c>
      <c r="N9" s="51">
        <f>tbTB[[#This Row],[Opening Balance]]+tbTB[[#This Row],[Mutation]]</f>
        <v>0</v>
      </c>
      <c r="O9" s="51"/>
      <c r="P9" s="52">
        <f>(tbTB[[#This Row],[Reconcile]]&lt;&gt;"")*(tbTB[[#This Row],[Ending Balance]]-tbTB[[#This Row],[Reconcile]])</f>
        <v>0</v>
      </c>
      <c r="Q9" s="53"/>
    </row>
    <row r="10" spans="2:17" x14ac:dyDescent="0.2">
      <c r="B10" s="50">
        <f>tbCoa[[#This Row],['#]]</f>
        <v>5</v>
      </c>
      <c r="C10" s="50">
        <f>tbCoa[[#This Row],[Number]]</f>
        <v>0</v>
      </c>
      <c r="D10" s="50">
        <f>tbCoa[[#This Row],[Code]]</f>
        <v>0</v>
      </c>
      <c r="E10" s="50">
        <f>tbCoa[[#This Row],[Ori Name]]</f>
        <v>0</v>
      </c>
      <c r="F10" s="50">
        <f>tbCoa[[#This Row],[Status]]</f>
        <v>0</v>
      </c>
      <c r="G10" s="50">
        <f>tbCoa[[#This Row],[Head]]</f>
        <v>0</v>
      </c>
      <c r="H10" s="50">
        <f>tbCoa[[#This Row],[Group]]</f>
        <v>0</v>
      </c>
      <c r="I10" s="50">
        <f>tbCoa[[#This Row],[Rep]]</f>
        <v>0</v>
      </c>
      <c r="J10" s="51">
        <f>SUMIFS(tbGj[_amount],tbGj[Date],"&lt;"&amp;_tbStartDate,tbGj[CoaCode],tbTB[[#This Row],[Code]])</f>
        <v>0</v>
      </c>
      <c r="K10" s="51">
        <f>SUMIFS(tbGj[_amount],tbGj[Date],"&gt;="&amp;_tbStartDate,tbGj[Date],"&lt;="&amp;_tbEndDate,tbGj[CoaCode],tbTB[[#This Row],[Code]],tbGj[d/c],"debit")</f>
        <v>0</v>
      </c>
      <c r="L10" s="51">
        <f>SUMIFS(tbGj[_amount],tbGj[Date],"&gt;="&amp;_tbStartDate,tbGj[Date],"&lt;="&amp;_tbEndDate,tbGj[CoaCode],tbTB[[#This Row],[Code]],tbGj[d/c],"credit")</f>
        <v>0</v>
      </c>
      <c r="M10" s="51">
        <f>SUM(tbTB[[#This Row],[Debit]:[Credit]])</f>
        <v>0</v>
      </c>
      <c r="N10" s="51">
        <f>tbTB[[#This Row],[Opening Balance]]+tbTB[[#This Row],[Mutation]]</f>
        <v>0</v>
      </c>
      <c r="O10" s="51"/>
      <c r="P10" s="52">
        <f>(tbTB[[#This Row],[Reconcile]]&lt;&gt;"")*(tbTB[[#This Row],[Ending Balance]]-tbTB[[#This Row],[Reconcile]])</f>
        <v>0</v>
      </c>
      <c r="Q10" s="53"/>
    </row>
    <row r="11" spans="2:17" x14ac:dyDescent="0.2">
      <c r="B11" s="50">
        <f>tbCoa[[#This Row],['#]]</f>
        <v>6</v>
      </c>
      <c r="C11" s="50">
        <f>tbCoa[[#This Row],[Number]]</f>
        <v>0</v>
      </c>
      <c r="D11" s="50">
        <f>tbCoa[[#This Row],[Code]]</f>
        <v>0</v>
      </c>
      <c r="E11" s="50">
        <f>tbCoa[[#This Row],[Ori Name]]</f>
        <v>0</v>
      </c>
      <c r="F11" s="50">
        <f>tbCoa[[#This Row],[Status]]</f>
        <v>0</v>
      </c>
      <c r="G11" s="50">
        <f>tbCoa[[#This Row],[Head]]</f>
        <v>0</v>
      </c>
      <c r="H11" s="50">
        <f>tbCoa[[#This Row],[Group]]</f>
        <v>0</v>
      </c>
      <c r="I11" s="50">
        <f>tbCoa[[#This Row],[Rep]]</f>
        <v>0</v>
      </c>
      <c r="J11" s="51">
        <f>SUMIFS(tbGj[_amount],tbGj[Date],"&lt;"&amp;_tbStartDate,tbGj[CoaCode],tbTB[[#This Row],[Code]])</f>
        <v>0</v>
      </c>
      <c r="K11" s="51">
        <f>SUMIFS(tbGj[_amount],tbGj[Date],"&gt;="&amp;_tbStartDate,tbGj[Date],"&lt;="&amp;_tbEndDate,tbGj[CoaCode],tbTB[[#This Row],[Code]],tbGj[d/c],"debit")</f>
        <v>0</v>
      </c>
      <c r="L11" s="51">
        <f>SUMIFS(tbGj[_amount],tbGj[Date],"&gt;="&amp;_tbStartDate,tbGj[Date],"&lt;="&amp;_tbEndDate,tbGj[CoaCode],tbTB[[#This Row],[Code]],tbGj[d/c],"credit")</f>
        <v>0</v>
      </c>
      <c r="M11" s="51">
        <f>SUM(tbTB[[#This Row],[Debit]:[Credit]])</f>
        <v>0</v>
      </c>
      <c r="N11" s="51">
        <f>tbTB[[#This Row],[Opening Balance]]+tbTB[[#This Row],[Mutation]]</f>
        <v>0</v>
      </c>
      <c r="O11" s="51"/>
      <c r="P11" s="52">
        <f>(tbTB[[#This Row],[Reconcile]]&lt;&gt;"")*(tbTB[[#This Row],[Ending Balance]]-tbTB[[#This Row],[Reconcile]])</f>
        <v>0</v>
      </c>
      <c r="Q11" s="53"/>
    </row>
    <row r="12" spans="2:17" x14ac:dyDescent="0.2">
      <c r="B12" s="50">
        <f>tbCoa[[#This Row],['#]]</f>
        <v>7</v>
      </c>
      <c r="C12" s="50">
        <f>tbCoa[[#This Row],[Number]]</f>
        <v>0</v>
      </c>
      <c r="D12" s="50">
        <f>tbCoa[[#This Row],[Code]]</f>
        <v>0</v>
      </c>
      <c r="E12" s="50">
        <f>tbCoa[[#This Row],[Ori Name]]</f>
        <v>0</v>
      </c>
      <c r="F12" s="50">
        <f>tbCoa[[#This Row],[Status]]</f>
        <v>0</v>
      </c>
      <c r="G12" s="50">
        <f>tbCoa[[#This Row],[Head]]</f>
        <v>0</v>
      </c>
      <c r="H12" s="50">
        <f>tbCoa[[#This Row],[Group]]</f>
        <v>0</v>
      </c>
      <c r="I12" s="50">
        <f>tbCoa[[#This Row],[Rep]]</f>
        <v>0</v>
      </c>
      <c r="J12" s="51">
        <f>SUMIFS(tbGj[_amount],tbGj[Date],"&lt;"&amp;_tbStartDate,tbGj[CoaCode],tbTB[[#This Row],[Code]])</f>
        <v>0</v>
      </c>
      <c r="K12" s="51">
        <f>SUMIFS(tbGj[_amount],tbGj[Date],"&gt;="&amp;_tbStartDate,tbGj[Date],"&lt;="&amp;_tbEndDate,tbGj[CoaCode],tbTB[[#This Row],[Code]],tbGj[d/c],"debit")</f>
        <v>0</v>
      </c>
      <c r="L12" s="51">
        <f>SUMIFS(tbGj[_amount],tbGj[Date],"&gt;="&amp;_tbStartDate,tbGj[Date],"&lt;="&amp;_tbEndDate,tbGj[CoaCode],tbTB[[#This Row],[Code]],tbGj[d/c],"credit")</f>
        <v>0</v>
      </c>
      <c r="M12" s="51">
        <f>SUM(tbTB[[#This Row],[Debit]:[Credit]])</f>
        <v>0</v>
      </c>
      <c r="N12" s="51">
        <f>tbTB[[#This Row],[Opening Balance]]+tbTB[[#This Row],[Mutation]]</f>
        <v>0</v>
      </c>
      <c r="O12" s="51"/>
      <c r="P12" s="52">
        <f>(tbTB[[#This Row],[Reconcile]]&lt;&gt;"")*(tbTB[[#This Row],[Ending Balance]]-tbTB[[#This Row],[Reconcile]])</f>
        <v>0</v>
      </c>
      <c r="Q12" s="53"/>
    </row>
    <row r="13" spans="2:17" x14ac:dyDescent="0.2">
      <c r="B13" s="50" t="e">
        <f>tbCoa[[#This Row],['#]]</f>
        <v>#VALUE!</v>
      </c>
      <c r="C13" s="50" t="e">
        <f>tbCoa[[#This Row],[Number]]</f>
        <v>#VALUE!</v>
      </c>
      <c r="D13" s="50" t="e">
        <f>tbCoa[[#This Row],[Code]]</f>
        <v>#VALUE!</v>
      </c>
      <c r="E13" s="50" t="e">
        <f>tbCoa[[#This Row],[Ori Name]]</f>
        <v>#VALUE!</v>
      </c>
      <c r="F13" s="50" t="e">
        <f>tbCoa[[#This Row],[Status]]</f>
        <v>#VALUE!</v>
      </c>
      <c r="G13" s="50" t="e">
        <f>tbCoa[[#This Row],[Head]]</f>
        <v>#VALUE!</v>
      </c>
      <c r="H13" s="50" t="e">
        <f>tbCoa[[#This Row],[Group]]</f>
        <v>#VALUE!</v>
      </c>
      <c r="I13" s="50" t="e">
        <f>tbCoa[[#This Row],[Rep]]</f>
        <v>#VALUE!</v>
      </c>
      <c r="J13" s="51">
        <f>SUMIFS(tbGj[_amount],tbGj[Date],"&lt;"&amp;_tbStartDate,tbGj[CoaCode],tbTB[[#This Row],[Code]])</f>
        <v>0</v>
      </c>
      <c r="K13" s="51">
        <f>SUMIFS(tbGj[_amount],tbGj[Date],"&gt;="&amp;_tbStartDate,tbGj[Date],"&lt;="&amp;_tbEndDate,tbGj[CoaCode],tbTB[[#This Row],[Code]],tbGj[d/c],"debit")</f>
        <v>0</v>
      </c>
      <c r="L13" s="51">
        <f>SUMIFS(tbGj[_amount],tbGj[Date],"&gt;="&amp;_tbStartDate,tbGj[Date],"&lt;="&amp;_tbEndDate,tbGj[CoaCode],tbTB[[#This Row],[Code]],tbGj[d/c],"credit")</f>
        <v>0</v>
      </c>
      <c r="M13" s="51">
        <f>SUM(tbTB[[#This Row],[Debit]:[Credit]])</f>
        <v>0</v>
      </c>
      <c r="N13" s="51">
        <f>tbTB[[#This Row],[Opening Balance]]+tbTB[[#This Row],[Mutation]]</f>
        <v>0</v>
      </c>
      <c r="O13" s="51"/>
      <c r="P13" s="52">
        <f>(tbTB[[#This Row],[Reconcile]]&lt;&gt;"")*(tbTB[[#This Row],[Ending Balance]]-tbTB[[#This Row],[Reconcile]])</f>
        <v>0</v>
      </c>
      <c r="Q13" s="53"/>
    </row>
    <row r="14" spans="2:17" x14ac:dyDescent="0.2">
      <c r="B14" s="50" t="e">
        <f>tbCoa[[#This Row],['#]]</f>
        <v>#VALUE!</v>
      </c>
      <c r="C14" s="50" t="e">
        <f>tbCoa[[#This Row],[Number]]</f>
        <v>#VALUE!</v>
      </c>
      <c r="D14" s="50" t="e">
        <f>tbCoa[[#This Row],[Code]]</f>
        <v>#VALUE!</v>
      </c>
      <c r="E14" s="50" t="e">
        <f>tbCoa[[#This Row],[Ori Name]]</f>
        <v>#VALUE!</v>
      </c>
      <c r="F14" s="50" t="e">
        <f>tbCoa[[#This Row],[Status]]</f>
        <v>#VALUE!</v>
      </c>
      <c r="G14" s="50" t="e">
        <f>tbCoa[[#This Row],[Head]]</f>
        <v>#VALUE!</v>
      </c>
      <c r="H14" s="50" t="e">
        <f>tbCoa[[#This Row],[Group]]</f>
        <v>#VALUE!</v>
      </c>
      <c r="I14" s="50" t="e">
        <f>tbCoa[[#This Row],[Rep]]</f>
        <v>#VALUE!</v>
      </c>
      <c r="J14" s="51">
        <f>SUMIFS(tbGj[_amount],tbGj[Date],"&lt;"&amp;_tbStartDate,tbGj[CoaCode],tbTB[[#This Row],[Code]])</f>
        <v>0</v>
      </c>
      <c r="K14" s="51">
        <f>SUMIFS(tbGj[_amount],tbGj[Date],"&gt;="&amp;_tbStartDate,tbGj[Date],"&lt;="&amp;_tbEndDate,tbGj[CoaCode],tbTB[[#This Row],[Code]],tbGj[d/c],"debit")</f>
        <v>0</v>
      </c>
      <c r="L14" s="51">
        <f>SUMIFS(tbGj[_amount],tbGj[Date],"&gt;="&amp;_tbStartDate,tbGj[Date],"&lt;="&amp;_tbEndDate,tbGj[CoaCode],tbTB[[#This Row],[Code]],tbGj[d/c],"credit")</f>
        <v>0</v>
      </c>
      <c r="M14" s="51">
        <f>SUM(tbTB[[#This Row],[Debit]:[Credit]])</f>
        <v>0</v>
      </c>
      <c r="N14" s="51">
        <f>tbTB[[#This Row],[Opening Balance]]+tbTB[[#This Row],[Mutation]]</f>
        <v>0</v>
      </c>
      <c r="O14" s="51"/>
      <c r="P14" s="52">
        <f>(tbTB[[#This Row],[Reconcile]]&lt;&gt;"")*(tbTB[[#This Row],[Ending Balance]]-tbTB[[#This Row],[Reconcile]])</f>
        <v>0</v>
      </c>
      <c r="Q14" s="53"/>
    </row>
    <row r="15" spans="2:17" x14ac:dyDescent="0.2">
      <c r="B15" s="50" t="e">
        <f>tbCoa[[#This Row],['#]]</f>
        <v>#VALUE!</v>
      </c>
      <c r="C15" s="50" t="e">
        <f>tbCoa[[#This Row],[Number]]</f>
        <v>#VALUE!</v>
      </c>
      <c r="D15" s="50" t="e">
        <f>tbCoa[[#This Row],[Code]]</f>
        <v>#VALUE!</v>
      </c>
      <c r="E15" s="50" t="e">
        <f>tbCoa[[#This Row],[Ori Name]]</f>
        <v>#VALUE!</v>
      </c>
      <c r="F15" s="50" t="e">
        <f>tbCoa[[#This Row],[Status]]</f>
        <v>#VALUE!</v>
      </c>
      <c r="G15" s="50" t="e">
        <f>tbCoa[[#This Row],[Head]]</f>
        <v>#VALUE!</v>
      </c>
      <c r="H15" s="50" t="e">
        <f>tbCoa[[#This Row],[Group]]</f>
        <v>#VALUE!</v>
      </c>
      <c r="I15" s="50" t="e">
        <f>tbCoa[[#This Row],[Rep]]</f>
        <v>#VALUE!</v>
      </c>
      <c r="J15" s="51">
        <f>SUMIFS(tbGj[_amount],tbGj[Date],"&lt;"&amp;_tbStartDate,tbGj[CoaCode],tbTB[[#This Row],[Code]])</f>
        <v>0</v>
      </c>
      <c r="K15" s="51">
        <f>SUMIFS(tbGj[_amount],tbGj[Date],"&gt;="&amp;_tbStartDate,tbGj[Date],"&lt;="&amp;_tbEndDate,tbGj[CoaCode],tbTB[[#This Row],[Code]],tbGj[d/c],"debit")</f>
        <v>0</v>
      </c>
      <c r="L15" s="51">
        <f>SUMIFS(tbGj[_amount],tbGj[Date],"&gt;="&amp;_tbStartDate,tbGj[Date],"&lt;="&amp;_tbEndDate,tbGj[CoaCode],tbTB[[#This Row],[Code]],tbGj[d/c],"credit")</f>
        <v>0</v>
      </c>
      <c r="M15" s="51">
        <f>SUM(tbTB[[#This Row],[Debit]:[Credit]])</f>
        <v>0</v>
      </c>
      <c r="N15" s="51">
        <f>tbTB[[#This Row],[Opening Balance]]+tbTB[[#This Row],[Mutation]]</f>
        <v>0</v>
      </c>
      <c r="O15" s="51"/>
      <c r="P15" s="52">
        <f>(tbTB[[#This Row],[Reconcile]]&lt;&gt;"")*(tbTB[[#This Row],[Ending Balance]]-tbTB[[#This Row],[Reconcile]])</f>
        <v>0</v>
      </c>
      <c r="Q15" s="53"/>
    </row>
    <row r="16" spans="2:17" x14ac:dyDescent="0.2">
      <c r="B16" s="50" t="e">
        <f>tbCoa[[#This Row],['#]]</f>
        <v>#VALUE!</v>
      </c>
      <c r="C16" s="50" t="e">
        <f>tbCoa[[#This Row],[Number]]</f>
        <v>#VALUE!</v>
      </c>
      <c r="D16" s="50" t="e">
        <f>tbCoa[[#This Row],[Code]]</f>
        <v>#VALUE!</v>
      </c>
      <c r="E16" s="50" t="e">
        <f>tbCoa[[#This Row],[Ori Name]]</f>
        <v>#VALUE!</v>
      </c>
      <c r="F16" s="50" t="e">
        <f>tbCoa[[#This Row],[Status]]</f>
        <v>#VALUE!</v>
      </c>
      <c r="G16" s="50" t="e">
        <f>tbCoa[[#This Row],[Head]]</f>
        <v>#VALUE!</v>
      </c>
      <c r="H16" s="50" t="e">
        <f>tbCoa[[#This Row],[Group]]</f>
        <v>#VALUE!</v>
      </c>
      <c r="I16" s="50" t="e">
        <f>tbCoa[[#This Row],[Rep]]</f>
        <v>#VALUE!</v>
      </c>
      <c r="J16" s="51">
        <f>SUMIFS(tbGj[_amount],tbGj[Date],"&lt;"&amp;_tbStartDate,tbGj[CoaCode],tbTB[[#This Row],[Code]])</f>
        <v>0</v>
      </c>
      <c r="K16" s="51">
        <f>SUMIFS(tbGj[_amount],tbGj[Date],"&gt;="&amp;_tbStartDate,tbGj[Date],"&lt;="&amp;_tbEndDate,tbGj[CoaCode],tbTB[[#This Row],[Code]],tbGj[d/c],"debit")</f>
        <v>0</v>
      </c>
      <c r="L16" s="51">
        <f>SUMIFS(tbGj[_amount],tbGj[Date],"&gt;="&amp;_tbStartDate,tbGj[Date],"&lt;="&amp;_tbEndDate,tbGj[CoaCode],tbTB[[#This Row],[Code]],tbGj[d/c],"credit")</f>
        <v>0</v>
      </c>
      <c r="M16" s="51">
        <f>SUM(tbTB[[#This Row],[Debit]:[Credit]])</f>
        <v>0</v>
      </c>
      <c r="N16" s="51">
        <f>tbTB[[#This Row],[Opening Balance]]+tbTB[[#This Row],[Mutation]]</f>
        <v>0</v>
      </c>
      <c r="O16" s="51"/>
      <c r="P16" s="52">
        <f>(tbTB[[#This Row],[Reconcile]]&lt;&gt;"")*(tbTB[[#This Row],[Ending Balance]]-tbTB[[#This Row],[Reconcile]])</f>
        <v>0</v>
      </c>
      <c r="Q16" s="53"/>
    </row>
    <row r="17" spans="2:17" x14ac:dyDescent="0.2">
      <c r="B17" s="50" t="e">
        <f>tbCoa[[#This Row],['#]]</f>
        <v>#VALUE!</v>
      </c>
      <c r="C17" s="50" t="e">
        <f>tbCoa[[#This Row],[Number]]</f>
        <v>#VALUE!</v>
      </c>
      <c r="D17" s="50" t="e">
        <f>tbCoa[[#This Row],[Code]]</f>
        <v>#VALUE!</v>
      </c>
      <c r="E17" s="50" t="e">
        <f>tbCoa[[#This Row],[Ori Name]]</f>
        <v>#VALUE!</v>
      </c>
      <c r="F17" s="50" t="e">
        <f>tbCoa[[#This Row],[Status]]</f>
        <v>#VALUE!</v>
      </c>
      <c r="G17" s="50" t="e">
        <f>tbCoa[[#This Row],[Head]]</f>
        <v>#VALUE!</v>
      </c>
      <c r="H17" s="50" t="e">
        <f>tbCoa[[#This Row],[Group]]</f>
        <v>#VALUE!</v>
      </c>
      <c r="I17" s="50" t="e">
        <f>tbCoa[[#This Row],[Rep]]</f>
        <v>#VALUE!</v>
      </c>
      <c r="J17" s="51">
        <f>SUMIFS(tbGj[_amount],tbGj[Date],"&lt;"&amp;_tbStartDate,tbGj[CoaCode],tbTB[[#This Row],[Code]])</f>
        <v>0</v>
      </c>
      <c r="K17" s="51">
        <f>SUMIFS(tbGj[_amount],tbGj[Date],"&gt;="&amp;_tbStartDate,tbGj[Date],"&lt;="&amp;_tbEndDate,tbGj[CoaCode],tbTB[[#This Row],[Code]],tbGj[d/c],"debit")</f>
        <v>0</v>
      </c>
      <c r="L17" s="51">
        <f>SUMIFS(tbGj[_amount],tbGj[Date],"&gt;="&amp;_tbStartDate,tbGj[Date],"&lt;="&amp;_tbEndDate,tbGj[CoaCode],tbTB[[#This Row],[Code]],tbGj[d/c],"credit")</f>
        <v>0</v>
      </c>
      <c r="M17" s="51">
        <f>SUM(tbTB[[#This Row],[Debit]:[Credit]])</f>
        <v>0</v>
      </c>
      <c r="N17" s="51">
        <f>tbTB[[#This Row],[Opening Balance]]+tbTB[[#This Row],[Mutation]]</f>
        <v>0</v>
      </c>
      <c r="O17" s="51"/>
      <c r="P17" s="52">
        <f>(tbTB[[#This Row],[Reconcile]]&lt;&gt;"")*(tbTB[[#This Row],[Ending Balance]]-tbTB[[#This Row],[Reconcile]])</f>
        <v>0</v>
      </c>
      <c r="Q17" s="53"/>
    </row>
    <row r="18" spans="2:17" x14ac:dyDescent="0.2">
      <c r="B18" s="50" t="e">
        <f>tbCoa[[#This Row],['#]]</f>
        <v>#VALUE!</v>
      </c>
      <c r="C18" s="50" t="e">
        <f>tbCoa[[#This Row],[Number]]</f>
        <v>#VALUE!</v>
      </c>
      <c r="D18" s="50" t="e">
        <f>tbCoa[[#This Row],[Code]]</f>
        <v>#VALUE!</v>
      </c>
      <c r="E18" s="50" t="e">
        <f>tbCoa[[#This Row],[Ori Name]]</f>
        <v>#VALUE!</v>
      </c>
      <c r="F18" s="50" t="e">
        <f>tbCoa[[#This Row],[Status]]</f>
        <v>#VALUE!</v>
      </c>
      <c r="G18" s="50" t="e">
        <f>tbCoa[[#This Row],[Head]]</f>
        <v>#VALUE!</v>
      </c>
      <c r="H18" s="50" t="e">
        <f>tbCoa[[#This Row],[Group]]</f>
        <v>#VALUE!</v>
      </c>
      <c r="I18" s="50" t="e">
        <f>tbCoa[[#This Row],[Rep]]</f>
        <v>#VALUE!</v>
      </c>
      <c r="J18" s="51">
        <f>SUMIFS(tbGj[_amount],tbGj[Date],"&lt;"&amp;_tbStartDate,tbGj[CoaCode],tbTB[[#This Row],[Code]])</f>
        <v>0</v>
      </c>
      <c r="K18" s="51">
        <f>SUMIFS(tbGj[_amount],tbGj[Date],"&gt;="&amp;_tbStartDate,tbGj[Date],"&lt;="&amp;_tbEndDate,tbGj[CoaCode],tbTB[[#This Row],[Code]],tbGj[d/c],"debit")</f>
        <v>0</v>
      </c>
      <c r="L18" s="51">
        <f>SUMIFS(tbGj[_amount],tbGj[Date],"&gt;="&amp;_tbStartDate,tbGj[Date],"&lt;="&amp;_tbEndDate,tbGj[CoaCode],tbTB[[#This Row],[Code]],tbGj[d/c],"credit")</f>
        <v>0</v>
      </c>
      <c r="M18" s="51">
        <f>SUM(tbTB[[#This Row],[Debit]:[Credit]])</f>
        <v>0</v>
      </c>
      <c r="N18" s="51">
        <f>tbTB[[#This Row],[Opening Balance]]+tbTB[[#This Row],[Mutation]]</f>
        <v>0</v>
      </c>
      <c r="O18" s="51"/>
      <c r="P18" s="52">
        <f>(tbTB[[#This Row],[Reconcile]]&lt;&gt;"")*(tbTB[[#This Row],[Ending Balance]]-tbTB[[#This Row],[Reconcile]])</f>
        <v>0</v>
      </c>
      <c r="Q18" s="53"/>
    </row>
    <row r="19" spans="2:17" x14ac:dyDescent="0.2">
      <c r="B19" s="50" t="e">
        <f>tbCoa[[#This Row],['#]]</f>
        <v>#VALUE!</v>
      </c>
      <c r="C19" s="50" t="e">
        <f>tbCoa[[#This Row],[Number]]</f>
        <v>#VALUE!</v>
      </c>
      <c r="D19" s="50" t="e">
        <f>tbCoa[[#This Row],[Code]]</f>
        <v>#VALUE!</v>
      </c>
      <c r="E19" s="50" t="e">
        <f>tbCoa[[#This Row],[Ori Name]]</f>
        <v>#VALUE!</v>
      </c>
      <c r="F19" s="50" t="e">
        <f>tbCoa[[#This Row],[Status]]</f>
        <v>#VALUE!</v>
      </c>
      <c r="G19" s="50" t="e">
        <f>tbCoa[[#This Row],[Head]]</f>
        <v>#VALUE!</v>
      </c>
      <c r="H19" s="50" t="e">
        <f>tbCoa[[#This Row],[Group]]</f>
        <v>#VALUE!</v>
      </c>
      <c r="I19" s="50" t="e">
        <f>tbCoa[[#This Row],[Rep]]</f>
        <v>#VALUE!</v>
      </c>
      <c r="J19" s="51">
        <f>SUMIFS(tbGj[_amount],tbGj[Date],"&lt;"&amp;_tbStartDate,tbGj[CoaCode],tbTB[[#This Row],[Code]])</f>
        <v>0</v>
      </c>
      <c r="K19" s="51">
        <f>SUMIFS(tbGj[_amount],tbGj[Date],"&gt;="&amp;_tbStartDate,tbGj[Date],"&lt;="&amp;_tbEndDate,tbGj[CoaCode],tbTB[[#This Row],[Code]],tbGj[d/c],"debit")</f>
        <v>0</v>
      </c>
      <c r="L19" s="51">
        <f>SUMIFS(tbGj[_amount],tbGj[Date],"&gt;="&amp;_tbStartDate,tbGj[Date],"&lt;="&amp;_tbEndDate,tbGj[CoaCode],tbTB[[#This Row],[Code]],tbGj[d/c],"credit")</f>
        <v>0</v>
      </c>
      <c r="M19" s="51">
        <f>SUM(tbTB[[#This Row],[Debit]:[Credit]])</f>
        <v>0</v>
      </c>
      <c r="N19" s="51">
        <f>tbTB[[#This Row],[Opening Balance]]+tbTB[[#This Row],[Mutation]]</f>
        <v>0</v>
      </c>
      <c r="O19" s="51"/>
      <c r="P19" s="52">
        <f>(tbTB[[#This Row],[Reconcile]]&lt;&gt;"")*(tbTB[[#This Row],[Ending Balance]]-tbTB[[#This Row],[Reconcile]])</f>
        <v>0</v>
      </c>
      <c r="Q19" s="53"/>
    </row>
    <row r="20" spans="2:17" x14ac:dyDescent="0.2">
      <c r="B20" s="50" t="e">
        <f>tbCoa[[#This Row],['#]]</f>
        <v>#VALUE!</v>
      </c>
      <c r="C20" s="50" t="e">
        <f>tbCoa[[#This Row],[Number]]</f>
        <v>#VALUE!</v>
      </c>
      <c r="D20" s="50" t="e">
        <f>tbCoa[[#This Row],[Code]]</f>
        <v>#VALUE!</v>
      </c>
      <c r="E20" s="50" t="e">
        <f>tbCoa[[#This Row],[Ori Name]]</f>
        <v>#VALUE!</v>
      </c>
      <c r="F20" s="50" t="e">
        <f>tbCoa[[#This Row],[Status]]</f>
        <v>#VALUE!</v>
      </c>
      <c r="G20" s="50" t="e">
        <f>tbCoa[[#This Row],[Head]]</f>
        <v>#VALUE!</v>
      </c>
      <c r="H20" s="50" t="e">
        <f>tbCoa[[#This Row],[Group]]</f>
        <v>#VALUE!</v>
      </c>
      <c r="I20" s="50" t="e">
        <f>tbCoa[[#This Row],[Rep]]</f>
        <v>#VALUE!</v>
      </c>
      <c r="J20" s="51">
        <f>SUMIFS(tbGj[_amount],tbGj[Date],"&lt;"&amp;_tbStartDate,tbGj[CoaCode],tbTB[[#This Row],[Code]])</f>
        <v>0</v>
      </c>
      <c r="K20" s="51">
        <f>SUMIFS(tbGj[_amount],tbGj[Date],"&gt;="&amp;_tbStartDate,tbGj[Date],"&lt;="&amp;_tbEndDate,tbGj[CoaCode],tbTB[[#This Row],[Code]],tbGj[d/c],"debit")</f>
        <v>0</v>
      </c>
      <c r="L20" s="51">
        <f>SUMIFS(tbGj[_amount],tbGj[Date],"&gt;="&amp;_tbStartDate,tbGj[Date],"&lt;="&amp;_tbEndDate,tbGj[CoaCode],tbTB[[#This Row],[Code]],tbGj[d/c],"credit")</f>
        <v>0</v>
      </c>
      <c r="M20" s="51">
        <f>SUM(tbTB[[#This Row],[Debit]:[Credit]])</f>
        <v>0</v>
      </c>
      <c r="N20" s="51">
        <f>tbTB[[#This Row],[Opening Balance]]+tbTB[[#This Row],[Mutation]]</f>
        <v>0</v>
      </c>
      <c r="O20" s="51"/>
      <c r="P20" s="52">
        <f>(tbTB[[#This Row],[Reconcile]]&lt;&gt;"")*(tbTB[[#This Row],[Ending Balance]]-tbTB[[#This Row],[Reconcile]])</f>
        <v>0</v>
      </c>
      <c r="Q20" s="53"/>
    </row>
    <row r="21" spans="2:17" x14ac:dyDescent="0.2">
      <c r="B21" s="50" t="e">
        <f>tbCoa[[#This Row],['#]]</f>
        <v>#VALUE!</v>
      </c>
      <c r="C21" s="50" t="e">
        <f>tbCoa[[#This Row],[Number]]</f>
        <v>#VALUE!</v>
      </c>
      <c r="D21" s="50" t="e">
        <f>tbCoa[[#This Row],[Code]]</f>
        <v>#VALUE!</v>
      </c>
      <c r="E21" s="50" t="e">
        <f>tbCoa[[#This Row],[Ori Name]]</f>
        <v>#VALUE!</v>
      </c>
      <c r="F21" s="50" t="e">
        <f>tbCoa[[#This Row],[Status]]</f>
        <v>#VALUE!</v>
      </c>
      <c r="G21" s="50" t="e">
        <f>tbCoa[[#This Row],[Head]]</f>
        <v>#VALUE!</v>
      </c>
      <c r="H21" s="50" t="e">
        <f>tbCoa[[#This Row],[Group]]</f>
        <v>#VALUE!</v>
      </c>
      <c r="I21" s="50" t="e">
        <f>tbCoa[[#This Row],[Rep]]</f>
        <v>#VALUE!</v>
      </c>
      <c r="J21" s="51">
        <f>SUMIFS(tbGj[_amount],tbGj[Date],"&lt;"&amp;_tbStartDate,tbGj[CoaCode],tbTB[[#This Row],[Code]])</f>
        <v>0</v>
      </c>
      <c r="K21" s="51">
        <f>SUMIFS(tbGj[_amount],tbGj[Date],"&gt;="&amp;_tbStartDate,tbGj[Date],"&lt;="&amp;_tbEndDate,tbGj[CoaCode],tbTB[[#This Row],[Code]],tbGj[d/c],"debit")</f>
        <v>0</v>
      </c>
      <c r="L21" s="51">
        <f>SUMIFS(tbGj[_amount],tbGj[Date],"&gt;="&amp;_tbStartDate,tbGj[Date],"&lt;="&amp;_tbEndDate,tbGj[CoaCode],tbTB[[#This Row],[Code]],tbGj[d/c],"credit")</f>
        <v>0</v>
      </c>
      <c r="M21" s="51">
        <f>SUM(tbTB[[#This Row],[Debit]:[Credit]])</f>
        <v>0</v>
      </c>
      <c r="N21" s="51">
        <f>tbTB[[#This Row],[Opening Balance]]+tbTB[[#This Row],[Mutation]]</f>
        <v>0</v>
      </c>
      <c r="O21" s="51"/>
      <c r="P21" s="52">
        <f>(tbTB[[#This Row],[Reconcile]]&lt;&gt;"")*(tbTB[[#This Row],[Ending Balance]]-tbTB[[#This Row],[Reconcile]])</f>
        <v>0</v>
      </c>
      <c r="Q21" s="53"/>
    </row>
    <row r="22" spans="2:17" x14ac:dyDescent="0.2">
      <c r="B22" s="50" t="e">
        <f>tbCoa[[#This Row],['#]]</f>
        <v>#VALUE!</v>
      </c>
      <c r="C22" s="50" t="e">
        <f>tbCoa[[#This Row],[Number]]</f>
        <v>#VALUE!</v>
      </c>
      <c r="D22" s="50" t="e">
        <f>tbCoa[[#This Row],[Code]]</f>
        <v>#VALUE!</v>
      </c>
      <c r="E22" s="50" t="e">
        <f>tbCoa[[#This Row],[Ori Name]]</f>
        <v>#VALUE!</v>
      </c>
      <c r="F22" s="50" t="e">
        <f>tbCoa[[#This Row],[Status]]</f>
        <v>#VALUE!</v>
      </c>
      <c r="G22" s="50" t="e">
        <f>tbCoa[[#This Row],[Head]]</f>
        <v>#VALUE!</v>
      </c>
      <c r="H22" s="50" t="e">
        <f>tbCoa[[#This Row],[Group]]</f>
        <v>#VALUE!</v>
      </c>
      <c r="I22" s="50" t="e">
        <f>tbCoa[[#This Row],[Rep]]</f>
        <v>#VALUE!</v>
      </c>
      <c r="J22" s="51">
        <f>SUMIFS(tbGj[_amount],tbGj[Date],"&lt;"&amp;_tbStartDate,tbGj[CoaCode],tbTB[[#This Row],[Code]])</f>
        <v>0</v>
      </c>
      <c r="K22" s="51">
        <f>SUMIFS(tbGj[_amount],tbGj[Date],"&gt;="&amp;_tbStartDate,tbGj[Date],"&lt;="&amp;_tbEndDate,tbGj[CoaCode],tbTB[[#This Row],[Code]],tbGj[d/c],"debit")</f>
        <v>0</v>
      </c>
      <c r="L22" s="51">
        <f>SUMIFS(tbGj[_amount],tbGj[Date],"&gt;="&amp;_tbStartDate,tbGj[Date],"&lt;="&amp;_tbEndDate,tbGj[CoaCode],tbTB[[#This Row],[Code]],tbGj[d/c],"credit")</f>
        <v>0</v>
      </c>
      <c r="M22" s="51">
        <f>SUM(tbTB[[#This Row],[Debit]:[Credit]])</f>
        <v>0</v>
      </c>
      <c r="N22" s="51">
        <f>tbTB[[#This Row],[Opening Balance]]+tbTB[[#This Row],[Mutation]]</f>
        <v>0</v>
      </c>
      <c r="O22" s="51"/>
      <c r="P22" s="52">
        <f>(tbTB[[#This Row],[Reconcile]]&lt;&gt;"")*(tbTB[[#This Row],[Ending Balance]]-tbTB[[#This Row],[Reconcile]])</f>
        <v>0</v>
      </c>
      <c r="Q22" s="53"/>
    </row>
    <row r="23" spans="2:17" x14ac:dyDescent="0.2">
      <c r="B23" s="50" t="e">
        <f>tbCoa[[#This Row],['#]]</f>
        <v>#VALUE!</v>
      </c>
      <c r="C23" s="50" t="e">
        <f>tbCoa[[#This Row],[Number]]</f>
        <v>#VALUE!</v>
      </c>
      <c r="D23" s="50" t="e">
        <f>tbCoa[[#This Row],[Code]]</f>
        <v>#VALUE!</v>
      </c>
      <c r="E23" s="50" t="e">
        <f>tbCoa[[#This Row],[Ori Name]]</f>
        <v>#VALUE!</v>
      </c>
      <c r="F23" s="50" t="e">
        <f>tbCoa[[#This Row],[Status]]</f>
        <v>#VALUE!</v>
      </c>
      <c r="G23" s="50" t="e">
        <f>tbCoa[[#This Row],[Head]]</f>
        <v>#VALUE!</v>
      </c>
      <c r="H23" s="50" t="e">
        <f>tbCoa[[#This Row],[Group]]</f>
        <v>#VALUE!</v>
      </c>
      <c r="I23" s="50" t="e">
        <f>tbCoa[[#This Row],[Rep]]</f>
        <v>#VALUE!</v>
      </c>
      <c r="J23" s="51">
        <f>SUMIFS(tbGj[_amount],tbGj[Date],"&lt;"&amp;_tbStartDate,tbGj[CoaCode],tbTB[[#This Row],[Code]])</f>
        <v>0</v>
      </c>
      <c r="K23" s="51">
        <f>SUMIFS(tbGj[_amount],tbGj[Date],"&gt;="&amp;_tbStartDate,tbGj[Date],"&lt;="&amp;_tbEndDate,tbGj[CoaCode],tbTB[[#This Row],[Code]],tbGj[d/c],"debit")</f>
        <v>0</v>
      </c>
      <c r="L23" s="51">
        <f>SUMIFS(tbGj[_amount],tbGj[Date],"&gt;="&amp;_tbStartDate,tbGj[Date],"&lt;="&amp;_tbEndDate,tbGj[CoaCode],tbTB[[#This Row],[Code]],tbGj[d/c],"credit")</f>
        <v>0</v>
      </c>
      <c r="M23" s="51">
        <f>SUM(tbTB[[#This Row],[Debit]:[Credit]])</f>
        <v>0</v>
      </c>
      <c r="N23" s="51">
        <f>tbTB[[#This Row],[Opening Balance]]+tbTB[[#This Row],[Mutation]]</f>
        <v>0</v>
      </c>
      <c r="O23" s="51"/>
      <c r="P23" s="52">
        <f>(tbTB[[#This Row],[Reconcile]]&lt;&gt;"")*(tbTB[[#This Row],[Ending Balance]]-tbTB[[#This Row],[Reconcile]])</f>
        <v>0</v>
      </c>
      <c r="Q23" s="53"/>
    </row>
    <row r="24" spans="2:17" x14ac:dyDescent="0.2">
      <c r="B24" s="50" t="e">
        <f>tbCoa[[#This Row],['#]]</f>
        <v>#VALUE!</v>
      </c>
      <c r="C24" s="50" t="e">
        <f>tbCoa[[#This Row],[Number]]</f>
        <v>#VALUE!</v>
      </c>
      <c r="D24" s="50" t="e">
        <f>tbCoa[[#This Row],[Code]]</f>
        <v>#VALUE!</v>
      </c>
      <c r="E24" s="50" t="e">
        <f>tbCoa[[#This Row],[Ori Name]]</f>
        <v>#VALUE!</v>
      </c>
      <c r="F24" s="50" t="e">
        <f>tbCoa[[#This Row],[Status]]</f>
        <v>#VALUE!</v>
      </c>
      <c r="G24" s="50" t="e">
        <f>tbCoa[[#This Row],[Head]]</f>
        <v>#VALUE!</v>
      </c>
      <c r="H24" s="50" t="e">
        <f>tbCoa[[#This Row],[Group]]</f>
        <v>#VALUE!</v>
      </c>
      <c r="I24" s="50" t="e">
        <f>tbCoa[[#This Row],[Rep]]</f>
        <v>#VALUE!</v>
      </c>
      <c r="J24" s="51">
        <f>SUMIFS(tbGj[_amount],tbGj[Date],"&lt;"&amp;_tbStartDate,tbGj[CoaCode],tbTB[[#This Row],[Code]])</f>
        <v>0</v>
      </c>
      <c r="K24" s="51">
        <f>SUMIFS(tbGj[_amount],tbGj[Date],"&gt;="&amp;_tbStartDate,tbGj[Date],"&lt;="&amp;_tbEndDate,tbGj[CoaCode],tbTB[[#This Row],[Code]],tbGj[d/c],"debit")</f>
        <v>0</v>
      </c>
      <c r="L24" s="51">
        <f>SUMIFS(tbGj[_amount],tbGj[Date],"&gt;="&amp;_tbStartDate,tbGj[Date],"&lt;="&amp;_tbEndDate,tbGj[CoaCode],tbTB[[#This Row],[Code]],tbGj[d/c],"credit")</f>
        <v>0</v>
      </c>
      <c r="M24" s="51">
        <f>SUM(tbTB[[#This Row],[Debit]:[Credit]])</f>
        <v>0</v>
      </c>
      <c r="N24" s="51">
        <f>tbTB[[#This Row],[Opening Balance]]+tbTB[[#This Row],[Mutation]]</f>
        <v>0</v>
      </c>
      <c r="O24" s="51"/>
      <c r="P24" s="52">
        <f>(tbTB[[#This Row],[Reconcile]]&lt;&gt;"")*(tbTB[[#This Row],[Ending Balance]]-tbTB[[#This Row],[Reconcile]])</f>
        <v>0</v>
      </c>
      <c r="Q24" s="53"/>
    </row>
    <row r="25" spans="2:17" x14ac:dyDescent="0.2">
      <c r="B25" s="50" t="e">
        <f>tbCoa[[#This Row],['#]]</f>
        <v>#VALUE!</v>
      </c>
      <c r="C25" s="50" t="e">
        <f>tbCoa[[#This Row],[Number]]</f>
        <v>#VALUE!</v>
      </c>
      <c r="D25" s="50" t="e">
        <f>tbCoa[[#This Row],[Code]]</f>
        <v>#VALUE!</v>
      </c>
      <c r="E25" s="50" t="e">
        <f>tbCoa[[#This Row],[Ori Name]]</f>
        <v>#VALUE!</v>
      </c>
      <c r="F25" s="50" t="e">
        <f>tbCoa[[#This Row],[Status]]</f>
        <v>#VALUE!</v>
      </c>
      <c r="G25" s="50" t="e">
        <f>tbCoa[[#This Row],[Head]]</f>
        <v>#VALUE!</v>
      </c>
      <c r="H25" s="50" t="e">
        <f>tbCoa[[#This Row],[Group]]</f>
        <v>#VALUE!</v>
      </c>
      <c r="I25" s="50" t="e">
        <f>tbCoa[[#This Row],[Rep]]</f>
        <v>#VALUE!</v>
      </c>
      <c r="J25" s="51">
        <f>SUMIFS(tbGj[_amount],tbGj[Date],"&lt;"&amp;_tbStartDate,tbGj[CoaCode],tbTB[[#This Row],[Code]])</f>
        <v>0</v>
      </c>
      <c r="K25" s="51">
        <f>SUMIFS(tbGj[_amount],tbGj[Date],"&gt;="&amp;_tbStartDate,tbGj[Date],"&lt;="&amp;_tbEndDate,tbGj[CoaCode],tbTB[[#This Row],[Code]],tbGj[d/c],"debit")</f>
        <v>0</v>
      </c>
      <c r="L25" s="51">
        <f>SUMIFS(tbGj[_amount],tbGj[Date],"&gt;="&amp;_tbStartDate,tbGj[Date],"&lt;="&amp;_tbEndDate,tbGj[CoaCode],tbTB[[#This Row],[Code]],tbGj[d/c],"credit")</f>
        <v>0</v>
      </c>
      <c r="M25" s="51">
        <f>SUM(tbTB[[#This Row],[Debit]:[Credit]])</f>
        <v>0</v>
      </c>
      <c r="N25" s="51">
        <f>tbTB[[#This Row],[Opening Balance]]+tbTB[[#This Row],[Mutation]]</f>
        <v>0</v>
      </c>
      <c r="O25" s="51"/>
      <c r="P25" s="52">
        <f>(tbTB[[#This Row],[Reconcile]]&lt;&gt;"")*(tbTB[[#This Row],[Ending Balance]]-tbTB[[#This Row],[Reconcile]])</f>
        <v>0</v>
      </c>
      <c r="Q25" s="53"/>
    </row>
    <row r="26" spans="2:17" x14ac:dyDescent="0.2">
      <c r="B26" s="50" t="e">
        <f>tbCoa[[#This Row],['#]]</f>
        <v>#VALUE!</v>
      </c>
      <c r="C26" s="50" t="e">
        <f>tbCoa[[#This Row],[Number]]</f>
        <v>#VALUE!</v>
      </c>
      <c r="D26" s="50" t="e">
        <f>tbCoa[[#This Row],[Code]]</f>
        <v>#VALUE!</v>
      </c>
      <c r="E26" s="50" t="e">
        <f>tbCoa[[#This Row],[Ori Name]]</f>
        <v>#VALUE!</v>
      </c>
      <c r="F26" s="50" t="e">
        <f>tbCoa[[#This Row],[Status]]</f>
        <v>#VALUE!</v>
      </c>
      <c r="G26" s="50" t="e">
        <f>tbCoa[[#This Row],[Head]]</f>
        <v>#VALUE!</v>
      </c>
      <c r="H26" s="50" t="e">
        <f>tbCoa[[#This Row],[Group]]</f>
        <v>#VALUE!</v>
      </c>
      <c r="I26" s="50" t="e">
        <f>tbCoa[[#This Row],[Rep]]</f>
        <v>#VALUE!</v>
      </c>
      <c r="J26" s="51">
        <f>SUMIFS(tbGj[_amount],tbGj[Date],"&lt;"&amp;_tbStartDate,tbGj[CoaCode],tbTB[[#This Row],[Code]])</f>
        <v>0</v>
      </c>
      <c r="K26" s="51">
        <f>SUMIFS(tbGj[_amount],tbGj[Date],"&gt;="&amp;_tbStartDate,tbGj[Date],"&lt;="&amp;_tbEndDate,tbGj[CoaCode],tbTB[[#This Row],[Code]],tbGj[d/c],"debit")</f>
        <v>0</v>
      </c>
      <c r="L26" s="51">
        <f>SUMIFS(tbGj[_amount],tbGj[Date],"&gt;="&amp;_tbStartDate,tbGj[Date],"&lt;="&amp;_tbEndDate,tbGj[CoaCode],tbTB[[#This Row],[Code]],tbGj[d/c],"credit")</f>
        <v>0</v>
      </c>
      <c r="M26" s="51">
        <f>SUM(tbTB[[#This Row],[Debit]:[Credit]])</f>
        <v>0</v>
      </c>
      <c r="N26" s="51">
        <f>tbTB[[#This Row],[Opening Balance]]+tbTB[[#This Row],[Mutation]]</f>
        <v>0</v>
      </c>
      <c r="O26" s="51"/>
      <c r="P26" s="52">
        <f>(tbTB[[#This Row],[Reconcile]]&lt;&gt;"")*(tbTB[[#This Row],[Ending Balance]]-tbTB[[#This Row],[Reconcile]])</f>
        <v>0</v>
      </c>
      <c r="Q26" s="53"/>
    </row>
    <row r="27" spans="2:17" x14ac:dyDescent="0.2">
      <c r="B27" s="50" t="e">
        <f>tbCoa[[#This Row],['#]]</f>
        <v>#VALUE!</v>
      </c>
      <c r="C27" s="50" t="e">
        <f>tbCoa[[#This Row],[Number]]</f>
        <v>#VALUE!</v>
      </c>
      <c r="D27" s="50" t="e">
        <f>tbCoa[[#This Row],[Code]]</f>
        <v>#VALUE!</v>
      </c>
      <c r="E27" s="50" t="e">
        <f>tbCoa[[#This Row],[Ori Name]]</f>
        <v>#VALUE!</v>
      </c>
      <c r="F27" s="50" t="e">
        <f>tbCoa[[#This Row],[Status]]</f>
        <v>#VALUE!</v>
      </c>
      <c r="G27" s="50" t="e">
        <f>tbCoa[[#This Row],[Head]]</f>
        <v>#VALUE!</v>
      </c>
      <c r="H27" s="50" t="e">
        <f>tbCoa[[#This Row],[Group]]</f>
        <v>#VALUE!</v>
      </c>
      <c r="I27" s="50" t="e">
        <f>tbCoa[[#This Row],[Rep]]</f>
        <v>#VALUE!</v>
      </c>
      <c r="J27" s="51">
        <f>SUMIFS(tbGj[_amount],tbGj[Date],"&lt;"&amp;_tbStartDate,tbGj[CoaCode],tbTB[[#This Row],[Code]])</f>
        <v>0</v>
      </c>
      <c r="K27" s="51">
        <f>SUMIFS(tbGj[_amount],tbGj[Date],"&gt;="&amp;_tbStartDate,tbGj[Date],"&lt;="&amp;_tbEndDate,tbGj[CoaCode],tbTB[[#This Row],[Code]],tbGj[d/c],"debit")</f>
        <v>0</v>
      </c>
      <c r="L27" s="51">
        <f>SUMIFS(tbGj[_amount],tbGj[Date],"&gt;="&amp;_tbStartDate,tbGj[Date],"&lt;="&amp;_tbEndDate,tbGj[CoaCode],tbTB[[#This Row],[Code]],tbGj[d/c],"credit")</f>
        <v>0</v>
      </c>
      <c r="M27" s="51">
        <f>SUM(tbTB[[#This Row],[Debit]:[Credit]])</f>
        <v>0</v>
      </c>
      <c r="N27" s="51">
        <f>tbTB[[#This Row],[Opening Balance]]+tbTB[[#This Row],[Mutation]]</f>
        <v>0</v>
      </c>
      <c r="O27" s="51"/>
      <c r="P27" s="52">
        <f>(tbTB[[#This Row],[Reconcile]]&lt;&gt;"")*(tbTB[[#This Row],[Ending Balance]]-tbTB[[#This Row],[Reconcile]])</f>
        <v>0</v>
      </c>
      <c r="Q27" s="53"/>
    </row>
    <row r="28" spans="2:17" x14ac:dyDescent="0.2">
      <c r="B28" s="50" t="e">
        <f>tbCoa[[#This Row],['#]]</f>
        <v>#VALUE!</v>
      </c>
      <c r="C28" s="50" t="e">
        <f>tbCoa[[#This Row],[Number]]</f>
        <v>#VALUE!</v>
      </c>
      <c r="D28" s="50" t="e">
        <f>tbCoa[[#This Row],[Code]]</f>
        <v>#VALUE!</v>
      </c>
      <c r="E28" s="50" t="e">
        <f>tbCoa[[#This Row],[Ori Name]]</f>
        <v>#VALUE!</v>
      </c>
      <c r="F28" s="50" t="e">
        <f>tbCoa[[#This Row],[Status]]</f>
        <v>#VALUE!</v>
      </c>
      <c r="G28" s="50" t="e">
        <f>tbCoa[[#This Row],[Head]]</f>
        <v>#VALUE!</v>
      </c>
      <c r="H28" s="50" t="e">
        <f>tbCoa[[#This Row],[Group]]</f>
        <v>#VALUE!</v>
      </c>
      <c r="I28" s="50" t="e">
        <f>tbCoa[[#This Row],[Rep]]</f>
        <v>#VALUE!</v>
      </c>
      <c r="J28" s="51">
        <f>SUMIFS(tbGj[_amount],tbGj[Date],"&lt;"&amp;_tbStartDate,tbGj[CoaCode],tbTB[[#This Row],[Code]])</f>
        <v>0</v>
      </c>
      <c r="K28" s="51">
        <f>SUMIFS(tbGj[_amount],tbGj[Date],"&gt;="&amp;_tbStartDate,tbGj[Date],"&lt;="&amp;_tbEndDate,tbGj[CoaCode],tbTB[[#This Row],[Code]],tbGj[d/c],"debit")</f>
        <v>0</v>
      </c>
      <c r="L28" s="51">
        <f>SUMIFS(tbGj[_amount],tbGj[Date],"&gt;="&amp;_tbStartDate,tbGj[Date],"&lt;="&amp;_tbEndDate,tbGj[CoaCode],tbTB[[#This Row],[Code]],tbGj[d/c],"credit")</f>
        <v>0</v>
      </c>
      <c r="M28" s="51">
        <f>SUM(tbTB[[#This Row],[Debit]:[Credit]])</f>
        <v>0</v>
      </c>
      <c r="N28" s="51">
        <f>tbTB[[#This Row],[Opening Balance]]+tbTB[[#This Row],[Mutation]]</f>
        <v>0</v>
      </c>
      <c r="O28" s="51"/>
      <c r="P28" s="52">
        <f>(tbTB[[#This Row],[Reconcile]]&lt;&gt;"")*(tbTB[[#This Row],[Ending Balance]]-tbTB[[#This Row],[Reconcile]])</f>
        <v>0</v>
      </c>
      <c r="Q28" s="53"/>
    </row>
    <row r="29" spans="2:17" x14ac:dyDescent="0.2">
      <c r="B29" s="50" t="e">
        <f>tbCoa[[#This Row],['#]]</f>
        <v>#VALUE!</v>
      </c>
      <c r="C29" s="50" t="e">
        <f>tbCoa[[#This Row],[Number]]</f>
        <v>#VALUE!</v>
      </c>
      <c r="D29" s="50" t="e">
        <f>tbCoa[[#This Row],[Code]]</f>
        <v>#VALUE!</v>
      </c>
      <c r="E29" s="50" t="e">
        <f>tbCoa[[#This Row],[Ori Name]]</f>
        <v>#VALUE!</v>
      </c>
      <c r="F29" s="50" t="e">
        <f>tbCoa[[#This Row],[Status]]</f>
        <v>#VALUE!</v>
      </c>
      <c r="G29" s="50" t="e">
        <f>tbCoa[[#This Row],[Head]]</f>
        <v>#VALUE!</v>
      </c>
      <c r="H29" s="50" t="e">
        <f>tbCoa[[#This Row],[Group]]</f>
        <v>#VALUE!</v>
      </c>
      <c r="I29" s="50" t="e">
        <f>tbCoa[[#This Row],[Rep]]</f>
        <v>#VALUE!</v>
      </c>
      <c r="J29" s="51">
        <f>SUMIFS(tbGj[_amount],tbGj[Date],"&lt;"&amp;_tbStartDate,tbGj[CoaCode],tbTB[[#This Row],[Code]])</f>
        <v>0</v>
      </c>
      <c r="K29" s="51">
        <f>SUMIFS(tbGj[_amount],tbGj[Date],"&gt;="&amp;_tbStartDate,tbGj[Date],"&lt;="&amp;_tbEndDate,tbGj[CoaCode],tbTB[[#This Row],[Code]],tbGj[d/c],"debit")</f>
        <v>0</v>
      </c>
      <c r="L29" s="51">
        <f>SUMIFS(tbGj[_amount],tbGj[Date],"&gt;="&amp;_tbStartDate,tbGj[Date],"&lt;="&amp;_tbEndDate,tbGj[CoaCode],tbTB[[#This Row],[Code]],tbGj[d/c],"credit")</f>
        <v>0</v>
      </c>
      <c r="M29" s="51">
        <f>SUM(tbTB[[#This Row],[Debit]:[Credit]])</f>
        <v>0</v>
      </c>
      <c r="N29" s="51">
        <f>tbTB[[#This Row],[Opening Balance]]+tbTB[[#This Row],[Mutation]]</f>
        <v>0</v>
      </c>
      <c r="O29" s="51"/>
      <c r="P29" s="52">
        <f>(tbTB[[#This Row],[Reconcile]]&lt;&gt;"")*(tbTB[[#This Row],[Ending Balance]]-tbTB[[#This Row],[Reconcile]])</f>
        <v>0</v>
      </c>
      <c r="Q29" s="53"/>
    </row>
    <row r="30" spans="2:17" x14ac:dyDescent="0.2">
      <c r="B30" s="50" t="e">
        <f>tbCoa[[#This Row],['#]]</f>
        <v>#VALUE!</v>
      </c>
      <c r="C30" s="50" t="e">
        <f>tbCoa[[#This Row],[Number]]</f>
        <v>#VALUE!</v>
      </c>
      <c r="D30" s="50" t="e">
        <f>tbCoa[[#This Row],[Code]]</f>
        <v>#VALUE!</v>
      </c>
      <c r="E30" s="50" t="e">
        <f>tbCoa[[#This Row],[Ori Name]]</f>
        <v>#VALUE!</v>
      </c>
      <c r="F30" s="50" t="e">
        <f>tbCoa[[#This Row],[Status]]</f>
        <v>#VALUE!</v>
      </c>
      <c r="G30" s="50" t="e">
        <f>tbCoa[[#This Row],[Head]]</f>
        <v>#VALUE!</v>
      </c>
      <c r="H30" s="50" t="e">
        <f>tbCoa[[#This Row],[Group]]</f>
        <v>#VALUE!</v>
      </c>
      <c r="I30" s="50" t="e">
        <f>tbCoa[[#This Row],[Rep]]</f>
        <v>#VALUE!</v>
      </c>
      <c r="J30" s="51">
        <f>SUMIFS(tbGj[_amount],tbGj[Date],"&lt;"&amp;_tbStartDate,tbGj[CoaCode],tbTB[[#This Row],[Code]])</f>
        <v>0</v>
      </c>
      <c r="K30" s="51">
        <f>SUMIFS(tbGj[_amount],tbGj[Date],"&gt;="&amp;_tbStartDate,tbGj[Date],"&lt;="&amp;_tbEndDate,tbGj[CoaCode],tbTB[[#This Row],[Code]],tbGj[d/c],"debit")</f>
        <v>0</v>
      </c>
      <c r="L30" s="51">
        <f>SUMIFS(tbGj[_amount],tbGj[Date],"&gt;="&amp;_tbStartDate,tbGj[Date],"&lt;="&amp;_tbEndDate,tbGj[CoaCode],tbTB[[#This Row],[Code]],tbGj[d/c],"credit")</f>
        <v>0</v>
      </c>
      <c r="M30" s="51">
        <f>SUM(tbTB[[#This Row],[Debit]:[Credit]])</f>
        <v>0</v>
      </c>
      <c r="N30" s="51">
        <f>tbTB[[#This Row],[Opening Balance]]+tbTB[[#This Row],[Mutation]]</f>
        <v>0</v>
      </c>
      <c r="O30" s="51"/>
      <c r="P30" s="52">
        <f>(tbTB[[#This Row],[Reconcile]]&lt;&gt;"")*(tbTB[[#This Row],[Ending Balance]]-tbTB[[#This Row],[Reconcile]])</f>
        <v>0</v>
      </c>
      <c r="Q30" s="53"/>
    </row>
    <row r="31" spans="2:17" x14ac:dyDescent="0.2">
      <c r="B31" s="50" t="e">
        <f>tbCoa[[#This Row],['#]]</f>
        <v>#VALUE!</v>
      </c>
      <c r="C31" s="50" t="e">
        <f>tbCoa[[#This Row],[Number]]</f>
        <v>#VALUE!</v>
      </c>
      <c r="D31" s="50" t="e">
        <f>tbCoa[[#This Row],[Code]]</f>
        <v>#VALUE!</v>
      </c>
      <c r="E31" s="50" t="e">
        <f>tbCoa[[#This Row],[Ori Name]]</f>
        <v>#VALUE!</v>
      </c>
      <c r="F31" s="50" t="e">
        <f>tbCoa[[#This Row],[Status]]</f>
        <v>#VALUE!</v>
      </c>
      <c r="G31" s="50" t="e">
        <f>tbCoa[[#This Row],[Head]]</f>
        <v>#VALUE!</v>
      </c>
      <c r="H31" s="50" t="e">
        <f>tbCoa[[#This Row],[Group]]</f>
        <v>#VALUE!</v>
      </c>
      <c r="I31" s="50" t="e">
        <f>tbCoa[[#This Row],[Rep]]</f>
        <v>#VALUE!</v>
      </c>
      <c r="J31" s="51">
        <f>SUMIFS(tbGj[_amount],tbGj[Date],"&lt;"&amp;_tbStartDate,tbGj[CoaCode],tbTB[[#This Row],[Code]])</f>
        <v>0</v>
      </c>
      <c r="K31" s="51">
        <f>SUMIFS(tbGj[_amount],tbGj[Date],"&gt;="&amp;_tbStartDate,tbGj[Date],"&lt;="&amp;_tbEndDate,tbGj[CoaCode],tbTB[[#This Row],[Code]],tbGj[d/c],"debit")</f>
        <v>0</v>
      </c>
      <c r="L31" s="51">
        <f>SUMIFS(tbGj[_amount],tbGj[Date],"&gt;="&amp;_tbStartDate,tbGj[Date],"&lt;="&amp;_tbEndDate,tbGj[CoaCode],tbTB[[#This Row],[Code]],tbGj[d/c],"credit")</f>
        <v>0</v>
      </c>
      <c r="M31" s="51">
        <f>SUM(tbTB[[#This Row],[Debit]:[Credit]])</f>
        <v>0</v>
      </c>
      <c r="N31" s="51">
        <f>tbTB[[#This Row],[Opening Balance]]+tbTB[[#This Row],[Mutation]]</f>
        <v>0</v>
      </c>
      <c r="O31" s="51"/>
      <c r="P31" s="52">
        <f>(tbTB[[#This Row],[Reconcile]]&lt;&gt;"")*(tbTB[[#This Row],[Ending Balance]]-tbTB[[#This Row],[Reconcile]])</f>
        <v>0</v>
      </c>
      <c r="Q31" s="53"/>
    </row>
    <row r="32" spans="2:17" x14ac:dyDescent="0.2">
      <c r="B32" s="50" t="e">
        <f>tbCoa[[#This Row],['#]]</f>
        <v>#VALUE!</v>
      </c>
      <c r="C32" s="50" t="e">
        <f>tbCoa[[#This Row],[Number]]</f>
        <v>#VALUE!</v>
      </c>
      <c r="D32" s="50" t="e">
        <f>tbCoa[[#This Row],[Code]]</f>
        <v>#VALUE!</v>
      </c>
      <c r="E32" s="50" t="e">
        <f>tbCoa[[#This Row],[Ori Name]]</f>
        <v>#VALUE!</v>
      </c>
      <c r="F32" s="50" t="e">
        <f>tbCoa[[#This Row],[Status]]</f>
        <v>#VALUE!</v>
      </c>
      <c r="G32" s="50" t="e">
        <f>tbCoa[[#This Row],[Head]]</f>
        <v>#VALUE!</v>
      </c>
      <c r="H32" s="50" t="e">
        <f>tbCoa[[#This Row],[Group]]</f>
        <v>#VALUE!</v>
      </c>
      <c r="I32" s="50" t="e">
        <f>tbCoa[[#This Row],[Rep]]</f>
        <v>#VALUE!</v>
      </c>
      <c r="J32" s="51">
        <f>SUMIFS(tbGj[_amount],tbGj[Date],"&lt;"&amp;_tbStartDate,tbGj[CoaCode],tbTB[[#This Row],[Code]])</f>
        <v>0</v>
      </c>
      <c r="K32" s="51">
        <f>SUMIFS(tbGj[_amount],tbGj[Date],"&gt;="&amp;_tbStartDate,tbGj[Date],"&lt;="&amp;_tbEndDate,tbGj[CoaCode],tbTB[[#This Row],[Code]],tbGj[d/c],"debit")</f>
        <v>0</v>
      </c>
      <c r="L32" s="51">
        <f>SUMIFS(tbGj[_amount],tbGj[Date],"&gt;="&amp;_tbStartDate,tbGj[Date],"&lt;="&amp;_tbEndDate,tbGj[CoaCode],tbTB[[#This Row],[Code]],tbGj[d/c],"credit")</f>
        <v>0</v>
      </c>
      <c r="M32" s="51">
        <f>SUM(tbTB[[#This Row],[Debit]:[Credit]])</f>
        <v>0</v>
      </c>
      <c r="N32" s="51">
        <f>tbTB[[#This Row],[Opening Balance]]+tbTB[[#This Row],[Mutation]]</f>
        <v>0</v>
      </c>
      <c r="O32" s="51"/>
      <c r="P32" s="52">
        <f>(tbTB[[#This Row],[Reconcile]]&lt;&gt;"")*(tbTB[[#This Row],[Ending Balance]]-tbTB[[#This Row],[Reconcile]])</f>
        <v>0</v>
      </c>
      <c r="Q32" s="53"/>
    </row>
    <row r="33" spans="2:17" x14ac:dyDescent="0.2">
      <c r="B33" s="50" t="e">
        <f>tbCoa[[#This Row],['#]]</f>
        <v>#VALUE!</v>
      </c>
      <c r="C33" s="50" t="e">
        <f>tbCoa[[#This Row],[Number]]</f>
        <v>#VALUE!</v>
      </c>
      <c r="D33" s="50" t="e">
        <f>tbCoa[[#This Row],[Code]]</f>
        <v>#VALUE!</v>
      </c>
      <c r="E33" s="50" t="e">
        <f>tbCoa[[#This Row],[Ori Name]]</f>
        <v>#VALUE!</v>
      </c>
      <c r="F33" s="50" t="e">
        <f>tbCoa[[#This Row],[Status]]</f>
        <v>#VALUE!</v>
      </c>
      <c r="G33" s="50" t="e">
        <f>tbCoa[[#This Row],[Head]]</f>
        <v>#VALUE!</v>
      </c>
      <c r="H33" s="50" t="e">
        <f>tbCoa[[#This Row],[Group]]</f>
        <v>#VALUE!</v>
      </c>
      <c r="I33" s="50" t="e">
        <f>tbCoa[[#This Row],[Rep]]</f>
        <v>#VALUE!</v>
      </c>
      <c r="J33" s="51">
        <f>SUMIFS(tbGj[_amount],tbGj[Date],"&lt;"&amp;_tbStartDate,tbGj[CoaCode],tbTB[[#This Row],[Code]])</f>
        <v>0</v>
      </c>
      <c r="K33" s="51">
        <f>SUMIFS(tbGj[_amount],tbGj[Date],"&gt;="&amp;_tbStartDate,tbGj[Date],"&lt;="&amp;_tbEndDate,tbGj[CoaCode],tbTB[[#This Row],[Code]],tbGj[d/c],"debit")</f>
        <v>0</v>
      </c>
      <c r="L33" s="51">
        <f>SUMIFS(tbGj[_amount],tbGj[Date],"&gt;="&amp;_tbStartDate,tbGj[Date],"&lt;="&amp;_tbEndDate,tbGj[CoaCode],tbTB[[#This Row],[Code]],tbGj[d/c],"credit")</f>
        <v>0</v>
      </c>
      <c r="M33" s="51">
        <f>SUM(tbTB[[#This Row],[Debit]:[Credit]])</f>
        <v>0</v>
      </c>
      <c r="N33" s="51">
        <f>tbTB[[#This Row],[Opening Balance]]+tbTB[[#This Row],[Mutation]]</f>
        <v>0</v>
      </c>
      <c r="O33" s="51"/>
      <c r="P33" s="52">
        <f>(tbTB[[#This Row],[Reconcile]]&lt;&gt;"")*(tbTB[[#This Row],[Ending Balance]]-tbTB[[#This Row],[Reconcile]])</f>
        <v>0</v>
      </c>
      <c r="Q33" s="53"/>
    </row>
    <row r="34" spans="2:17" x14ac:dyDescent="0.2">
      <c r="B34" s="50" t="e">
        <f>tbCoa[[#This Row],['#]]</f>
        <v>#VALUE!</v>
      </c>
      <c r="C34" s="50" t="e">
        <f>tbCoa[[#This Row],[Number]]</f>
        <v>#VALUE!</v>
      </c>
      <c r="D34" s="50" t="e">
        <f>tbCoa[[#This Row],[Code]]</f>
        <v>#VALUE!</v>
      </c>
      <c r="E34" s="50" t="e">
        <f>tbCoa[[#This Row],[Ori Name]]</f>
        <v>#VALUE!</v>
      </c>
      <c r="F34" s="50" t="e">
        <f>tbCoa[[#This Row],[Status]]</f>
        <v>#VALUE!</v>
      </c>
      <c r="G34" s="50" t="e">
        <f>tbCoa[[#This Row],[Head]]</f>
        <v>#VALUE!</v>
      </c>
      <c r="H34" s="50" t="e">
        <f>tbCoa[[#This Row],[Group]]</f>
        <v>#VALUE!</v>
      </c>
      <c r="I34" s="50" t="e">
        <f>tbCoa[[#This Row],[Rep]]</f>
        <v>#VALUE!</v>
      </c>
      <c r="J34" s="51">
        <f>SUMIFS(tbGj[_amount],tbGj[Date],"&lt;"&amp;_tbStartDate,tbGj[CoaCode],tbTB[[#This Row],[Code]])</f>
        <v>0</v>
      </c>
      <c r="K34" s="51">
        <f>SUMIFS(tbGj[_amount],tbGj[Date],"&gt;="&amp;_tbStartDate,tbGj[Date],"&lt;="&amp;_tbEndDate,tbGj[CoaCode],tbTB[[#This Row],[Code]],tbGj[d/c],"debit")</f>
        <v>0</v>
      </c>
      <c r="L34" s="51">
        <f>SUMIFS(tbGj[_amount],tbGj[Date],"&gt;="&amp;_tbStartDate,tbGj[Date],"&lt;="&amp;_tbEndDate,tbGj[CoaCode],tbTB[[#This Row],[Code]],tbGj[d/c],"credit")</f>
        <v>0</v>
      </c>
      <c r="M34" s="51">
        <f>SUM(tbTB[[#This Row],[Debit]:[Credit]])</f>
        <v>0</v>
      </c>
      <c r="N34" s="51">
        <f>tbTB[[#This Row],[Opening Balance]]+tbTB[[#This Row],[Mutation]]</f>
        <v>0</v>
      </c>
      <c r="O34" s="51"/>
      <c r="P34" s="52">
        <f>(tbTB[[#This Row],[Reconcile]]&lt;&gt;"")*(tbTB[[#This Row],[Ending Balance]]-tbTB[[#This Row],[Reconcile]])</f>
        <v>0</v>
      </c>
      <c r="Q34" s="53"/>
    </row>
    <row r="35" spans="2:17" x14ac:dyDescent="0.2">
      <c r="B35" s="50" t="e">
        <f>tbCoa[[#This Row],['#]]</f>
        <v>#VALUE!</v>
      </c>
      <c r="C35" s="50" t="e">
        <f>tbCoa[[#This Row],[Number]]</f>
        <v>#VALUE!</v>
      </c>
      <c r="D35" s="50" t="e">
        <f>tbCoa[[#This Row],[Code]]</f>
        <v>#VALUE!</v>
      </c>
      <c r="E35" s="50" t="e">
        <f>tbCoa[[#This Row],[Ori Name]]</f>
        <v>#VALUE!</v>
      </c>
      <c r="F35" s="50" t="e">
        <f>tbCoa[[#This Row],[Status]]</f>
        <v>#VALUE!</v>
      </c>
      <c r="G35" s="50" t="e">
        <f>tbCoa[[#This Row],[Head]]</f>
        <v>#VALUE!</v>
      </c>
      <c r="H35" s="50" t="e">
        <f>tbCoa[[#This Row],[Group]]</f>
        <v>#VALUE!</v>
      </c>
      <c r="I35" s="50" t="e">
        <f>tbCoa[[#This Row],[Rep]]</f>
        <v>#VALUE!</v>
      </c>
      <c r="J35" s="51">
        <f>SUMIFS(tbGj[_amount],tbGj[Date],"&lt;"&amp;_tbStartDate,tbGj[CoaCode],tbTB[[#This Row],[Code]])</f>
        <v>0</v>
      </c>
      <c r="K35" s="51">
        <f>SUMIFS(tbGj[_amount],tbGj[Date],"&gt;="&amp;_tbStartDate,tbGj[Date],"&lt;="&amp;_tbEndDate,tbGj[CoaCode],tbTB[[#This Row],[Code]],tbGj[d/c],"debit")</f>
        <v>0</v>
      </c>
      <c r="L35" s="51">
        <f>SUMIFS(tbGj[_amount],tbGj[Date],"&gt;="&amp;_tbStartDate,tbGj[Date],"&lt;="&amp;_tbEndDate,tbGj[CoaCode],tbTB[[#This Row],[Code]],tbGj[d/c],"credit")</f>
        <v>0</v>
      </c>
      <c r="M35" s="51">
        <f>SUM(tbTB[[#This Row],[Debit]:[Credit]])</f>
        <v>0</v>
      </c>
      <c r="N35" s="51">
        <f>tbTB[[#This Row],[Opening Balance]]+tbTB[[#This Row],[Mutation]]</f>
        <v>0</v>
      </c>
      <c r="O35" s="51"/>
      <c r="P35" s="52">
        <f>(tbTB[[#This Row],[Reconcile]]&lt;&gt;"")*(tbTB[[#This Row],[Ending Balance]]-tbTB[[#This Row],[Reconcile]])</f>
        <v>0</v>
      </c>
      <c r="Q35" s="53"/>
    </row>
    <row r="36" spans="2:17" x14ac:dyDescent="0.2">
      <c r="B36" s="50" t="e">
        <f>tbCoa[[#This Row],['#]]</f>
        <v>#VALUE!</v>
      </c>
      <c r="C36" s="50" t="e">
        <f>tbCoa[[#This Row],[Number]]</f>
        <v>#VALUE!</v>
      </c>
      <c r="D36" s="50" t="e">
        <f>tbCoa[[#This Row],[Code]]</f>
        <v>#VALUE!</v>
      </c>
      <c r="E36" s="50" t="e">
        <f>tbCoa[[#This Row],[Ori Name]]</f>
        <v>#VALUE!</v>
      </c>
      <c r="F36" s="50" t="e">
        <f>tbCoa[[#This Row],[Status]]</f>
        <v>#VALUE!</v>
      </c>
      <c r="G36" s="50" t="e">
        <f>tbCoa[[#This Row],[Head]]</f>
        <v>#VALUE!</v>
      </c>
      <c r="H36" s="50" t="e">
        <f>tbCoa[[#This Row],[Group]]</f>
        <v>#VALUE!</v>
      </c>
      <c r="I36" s="50" t="e">
        <f>tbCoa[[#This Row],[Rep]]</f>
        <v>#VALUE!</v>
      </c>
      <c r="J36" s="51">
        <f>SUMIFS(tbGj[_amount],tbGj[Date],"&lt;"&amp;_tbStartDate,tbGj[CoaCode],tbTB[[#This Row],[Code]])</f>
        <v>0</v>
      </c>
      <c r="K36" s="51">
        <f>SUMIFS(tbGj[_amount],tbGj[Date],"&gt;="&amp;_tbStartDate,tbGj[Date],"&lt;="&amp;_tbEndDate,tbGj[CoaCode],tbTB[[#This Row],[Code]],tbGj[d/c],"debit")</f>
        <v>0</v>
      </c>
      <c r="L36" s="51">
        <f>SUMIFS(tbGj[_amount],tbGj[Date],"&gt;="&amp;_tbStartDate,tbGj[Date],"&lt;="&amp;_tbEndDate,tbGj[CoaCode],tbTB[[#This Row],[Code]],tbGj[d/c],"credit")</f>
        <v>0</v>
      </c>
      <c r="M36" s="51">
        <f>SUM(tbTB[[#This Row],[Debit]:[Credit]])</f>
        <v>0</v>
      </c>
      <c r="N36" s="51">
        <f>tbTB[[#This Row],[Opening Balance]]+tbTB[[#This Row],[Mutation]]</f>
        <v>0</v>
      </c>
      <c r="O36" s="51"/>
      <c r="P36" s="52">
        <f>(tbTB[[#This Row],[Reconcile]]&lt;&gt;"")*(tbTB[[#This Row],[Ending Balance]]-tbTB[[#This Row],[Reconcile]])</f>
        <v>0</v>
      </c>
      <c r="Q36" s="53"/>
    </row>
    <row r="37" spans="2:17" x14ac:dyDescent="0.2">
      <c r="B37" s="50" t="e">
        <f>tbCoa[[#This Row],['#]]</f>
        <v>#VALUE!</v>
      </c>
      <c r="C37" s="50" t="e">
        <f>tbCoa[[#This Row],[Number]]</f>
        <v>#VALUE!</v>
      </c>
      <c r="D37" s="50" t="e">
        <f>tbCoa[[#This Row],[Code]]</f>
        <v>#VALUE!</v>
      </c>
      <c r="E37" s="50" t="e">
        <f>tbCoa[[#This Row],[Ori Name]]</f>
        <v>#VALUE!</v>
      </c>
      <c r="F37" s="50" t="e">
        <f>tbCoa[[#This Row],[Status]]</f>
        <v>#VALUE!</v>
      </c>
      <c r="G37" s="50" t="e">
        <f>tbCoa[[#This Row],[Head]]</f>
        <v>#VALUE!</v>
      </c>
      <c r="H37" s="50" t="e">
        <f>tbCoa[[#This Row],[Group]]</f>
        <v>#VALUE!</v>
      </c>
      <c r="I37" s="50" t="e">
        <f>tbCoa[[#This Row],[Rep]]</f>
        <v>#VALUE!</v>
      </c>
      <c r="J37" s="51">
        <f>SUMIFS(tbGj[_amount],tbGj[Date],"&lt;"&amp;_tbStartDate,tbGj[CoaCode],tbTB[[#This Row],[Code]])</f>
        <v>0</v>
      </c>
      <c r="K37" s="51">
        <f>SUMIFS(tbGj[_amount],tbGj[Date],"&gt;="&amp;_tbStartDate,tbGj[Date],"&lt;="&amp;_tbEndDate,tbGj[CoaCode],tbTB[[#This Row],[Code]],tbGj[d/c],"debit")</f>
        <v>0</v>
      </c>
      <c r="L37" s="51">
        <f>SUMIFS(tbGj[_amount],tbGj[Date],"&gt;="&amp;_tbStartDate,tbGj[Date],"&lt;="&amp;_tbEndDate,tbGj[CoaCode],tbTB[[#This Row],[Code]],tbGj[d/c],"credit")</f>
        <v>0</v>
      </c>
      <c r="M37" s="51">
        <f>SUM(tbTB[[#This Row],[Debit]:[Credit]])</f>
        <v>0</v>
      </c>
      <c r="N37" s="51">
        <f>tbTB[[#This Row],[Opening Balance]]+tbTB[[#This Row],[Mutation]]</f>
        <v>0</v>
      </c>
      <c r="O37" s="51"/>
      <c r="P37" s="52">
        <f>(tbTB[[#This Row],[Reconcile]]&lt;&gt;"")*(tbTB[[#This Row],[Ending Balance]]-tbTB[[#This Row],[Reconcile]])</f>
        <v>0</v>
      </c>
      <c r="Q37" s="53"/>
    </row>
    <row r="38" spans="2:17" x14ac:dyDescent="0.2">
      <c r="B38" s="50" t="e">
        <f>tbCoa[[#This Row],['#]]</f>
        <v>#VALUE!</v>
      </c>
      <c r="C38" s="50" t="e">
        <f>tbCoa[[#This Row],[Number]]</f>
        <v>#VALUE!</v>
      </c>
      <c r="D38" s="50" t="e">
        <f>tbCoa[[#This Row],[Code]]</f>
        <v>#VALUE!</v>
      </c>
      <c r="E38" s="50" t="e">
        <f>tbCoa[[#This Row],[Ori Name]]</f>
        <v>#VALUE!</v>
      </c>
      <c r="F38" s="50" t="e">
        <f>tbCoa[[#This Row],[Status]]</f>
        <v>#VALUE!</v>
      </c>
      <c r="G38" s="50" t="e">
        <f>tbCoa[[#This Row],[Head]]</f>
        <v>#VALUE!</v>
      </c>
      <c r="H38" s="50" t="e">
        <f>tbCoa[[#This Row],[Group]]</f>
        <v>#VALUE!</v>
      </c>
      <c r="I38" s="50" t="e">
        <f>tbCoa[[#This Row],[Rep]]</f>
        <v>#VALUE!</v>
      </c>
      <c r="J38" s="51">
        <f>SUMIFS(tbGj[_amount],tbGj[Date],"&lt;"&amp;_tbStartDate,tbGj[CoaCode],tbTB[[#This Row],[Code]])</f>
        <v>0</v>
      </c>
      <c r="K38" s="51">
        <f>SUMIFS(tbGj[_amount],tbGj[Date],"&gt;="&amp;_tbStartDate,tbGj[Date],"&lt;="&amp;_tbEndDate,tbGj[CoaCode],tbTB[[#This Row],[Code]],tbGj[d/c],"debit")</f>
        <v>0</v>
      </c>
      <c r="L38" s="51">
        <f>SUMIFS(tbGj[_amount],tbGj[Date],"&gt;="&amp;_tbStartDate,tbGj[Date],"&lt;="&amp;_tbEndDate,tbGj[CoaCode],tbTB[[#This Row],[Code]],tbGj[d/c],"credit")</f>
        <v>0</v>
      </c>
      <c r="M38" s="51">
        <f>SUM(tbTB[[#This Row],[Debit]:[Credit]])</f>
        <v>0</v>
      </c>
      <c r="N38" s="51">
        <f>tbTB[[#This Row],[Opening Balance]]+tbTB[[#This Row],[Mutation]]</f>
        <v>0</v>
      </c>
      <c r="O38" s="51"/>
      <c r="P38" s="52">
        <f>(tbTB[[#This Row],[Reconcile]]&lt;&gt;"")*(tbTB[[#This Row],[Ending Balance]]-tbTB[[#This Row],[Reconcile]])</f>
        <v>0</v>
      </c>
      <c r="Q38" s="53"/>
    </row>
    <row r="39" spans="2:17" x14ac:dyDescent="0.2">
      <c r="B39" s="50" t="e">
        <f>tbCoa[[#This Row],['#]]</f>
        <v>#VALUE!</v>
      </c>
      <c r="C39" s="50" t="e">
        <f>tbCoa[[#This Row],[Number]]</f>
        <v>#VALUE!</v>
      </c>
      <c r="D39" s="50" t="e">
        <f>tbCoa[[#This Row],[Code]]</f>
        <v>#VALUE!</v>
      </c>
      <c r="E39" s="50" t="e">
        <f>tbCoa[[#This Row],[Ori Name]]</f>
        <v>#VALUE!</v>
      </c>
      <c r="F39" s="50" t="e">
        <f>tbCoa[[#This Row],[Status]]</f>
        <v>#VALUE!</v>
      </c>
      <c r="G39" s="50" t="e">
        <f>tbCoa[[#This Row],[Head]]</f>
        <v>#VALUE!</v>
      </c>
      <c r="H39" s="50" t="e">
        <f>tbCoa[[#This Row],[Group]]</f>
        <v>#VALUE!</v>
      </c>
      <c r="I39" s="50" t="e">
        <f>tbCoa[[#This Row],[Rep]]</f>
        <v>#VALUE!</v>
      </c>
      <c r="J39" s="51">
        <f>SUMIFS(tbGj[_amount],tbGj[Date],"&lt;"&amp;_tbStartDate,tbGj[CoaCode],tbTB[[#This Row],[Code]])</f>
        <v>0</v>
      </c>
      <c r="K39" s="51">
        <f>SUMIFS(tbGj[_amount],tbGj[Date],"&gt;="&amp;_tbStartDate,tbGj[Date],"&lt;="&amp;_tbEndDate,tbGj[CoaCode],tbTB[[#This Row],[Code]],tbGj[d/c],"debit")</f>
        <v>0</v>
      </c>
      <c r="L39" s="51">
        <f>SUMIFS(tbGj[_amount],tbGj[Date],"&gt;="&amp;_tbStartDate,tbGj[Date],"&lt;="&amp;_tbEndDate,tbGj[CoaCode],tbTB[[#This Row],[Code]],tbGj[d/c],"credit")</f>
        <v>0</v>
      </c>
      <c r="M39" s="51">
        <f>SUM(tbTB[[#This Row],[Debit]:[Credit]])</f>
        <v>0</v>
      </c>
      <c r="N39" s="51">
        <f>tbTB[[#This Row],[Opening Balance]]+tbTB[[#This Row],[Mutation]]</f>
        <v>0</v>
      </c>
      <c r="O39" s="51"/>
      <c r="P39" s="52">
        <f>(tbTB[[#This Row],[Reconcile]]&lt;&gt;"")*(tbTB[[#This Row],[Ending Balance]]-tbTB[[#This Row],[Reconcile]])</f>
        <v>0</v>
      </c>
      <c r="Q39" s="53"/>
    </row>
    <row r="40" spans="2:17" x14ac:dyDescent="0.2">
      <c r="B40" s="50" t="e">
        <f>tbCoa[[#This Row],['#]]</f>
        <v>#VALUE!</v>
      </c>
      <c r="C40" s="50" t="e">
        <f>tbCoa[[#This Row],[Number]]</f>
        <v>#VALUE!</v>
      </c>
      <c r="D40" s="50" t="e">
        <f>tbCoa[[#This Row],[Code]]</f>
        <v>#VALUE!</v>
      </c>
      <c r="E40" s="50" t="e">
        <f>tbCoa[[#This Row],[Ori Name]]</f>
        <v>#VALUE!</v>
      </c>
      <c r="F40" s="50" t="e">
        <f>tbCoa[[#This Row],[Status]]</f>
        <v>#VALUE!</v>
      </c>
      <c r="G40" s="50" t="e">
        <f>tbCoa[[#This Row],[Head]]</f>
        <v>#VALUE!</v>
      </c>
      <c r="H40" s="50" t="e">
        <f>tbCoa[[#This Row],[Group]]</f>
        <v>#VALUE!</v>
      </c>
      <c r="I40" s="50" t="e">
        <f>tbCoa[[#This Row],[Rep]]</f>
        <v>#VALUE!</v>
      </c>
      <c r="J40" s="51">
        <f>SUMIFS(tbGj[_amount],tbGj[Date],"&lt;"&amp;_tbStartDate,tbGj[CoaCode],tbTB[[#This Row],[Code]])</f>
        <v>0</v>
      </c>
      <c r="K40" s="51">
        <f>SUMIFS(tbGj[_amount],tbGj[Date],"&gt;="&amp;_tbStartDate,tbGj[Date],"&lt;="&amp;_tbEndDate,tbGj[CoaCode],tbTB[[#This Row],[Code]],tbGj[d/c],"debit")</f>
        <v>0</v>
      </c>
      <c r="L40" s="51">
        <f>SUMIFS(tbGj[_amount],tbGj[Date],"&gt;="&amp;_tbStartDate,tbGj[Date],"&lt;="&amp;_tbEndDate,tbGj[CoaCode],tbTB[[#This Row],[Code]],tbGj[d/c],"credit")</f>
        <v>0</v>
      </c>
      <c r="M40" s="51">
        <f>SUM(tbTB[[#This Row],[Debit]:[Credit]])</f>
        <v>0</v>
      </c>
      <c r="N40" s="51">
        <f>tbTB[[#This Row],[Opening Balance]]+tbTB[[#This Row],[Mutation]]</f>
        <v>0</v>
      </c>
      <c r="O40" s="51"/>
      <c r="P40" s="52">
        <f>(tbTB[[#This Row],[Reconcile]]&lt;&gt;"")*(tbTB[[#This Row],[Ending Balance]]-tbTB[[#This Row],[Reconcile]])</f>
        <v>0</v>
      </c>
      <c r="Q40" s="53"/>
    </row>
    <row r="41" spans="2:17" x14ac:dyDescent="0.2">
      <c r="B41" s="50" t="e">
        <f>tbCoa[[#This Row],['#]]</f>
        <v>#VALUE!</v>
      </c>
      <c r="C41" s="50" t="e">
        <f>tbCoa[[#This Row],[Number]]</f>
        <v>#VALUE!</v>
      </c>
      <c r="D41" s="50" t="e">
        <f>tbCoa[[#This Row],[Code]]</f>
        <v>#VALUE!</v>
      </c>
      <c r="E41" s="50" t="e">
        <f>tbCoa[[#This Row],[Ori Name]]</f>
        <v>#VALUE!</v>
      </c>
      <c r="F41" s="50" t="e">
        <f>tbCoa[[#This Row],[Status]]</f>
        <v>#VALUE!</v>
      </c>
      <c r="G41" s="50" t="e">
        <f>tbCoa[[#This Row],[Head]]</f>
        <v>#VALUE!</v>
      </c>
      <c r="H41" s="50" t="e">
        <f>tbCoa[[#This Row],[Group]]</f>
        <v>#VALUE!</v>
      </c>
      <c r="I41" s="50" t="e">
        <f>tbCoa[[#This Row],[Rep]]</f>
        <v>#VALUE!</v>
      </c>
      <c r="J41" s="51">
        <f>SUMIFS(tbGj[_amount],tbGj[Date],"&lt;"&amp;_tbStartDate,tbGj[CoaCode],tbTB[[#This Row],[Code]])</f>
        <v>0</v>
      </c>
      <c r="K41" s="51">
        <f>SUMIFS(tbGj[_amount],tbGj[Date],"&gt;="&amp;_tbStartDate,tbGj[Date],"&lt;="&amp;_tbEndDate,tbGj[CoaCode],tbTB[[#This Row],[Code]],tbGj[d/c],"debit")</f>
        <v>0</v>
      </c>
      <c r="L41" s="51">
        <f>SUMIFS(tbGj[_amount],tbGj[Date],"&gt;="&amp;_tbStartDate,tbGj[Date],"&lt;="&amp;_tbEndDate,tbGj[CoaCode],tbTB[[#This Row],[Code]],tbGj[d/c],"credit")</f>
        <v>0</v>
      </c>
      <c r="M41" s="51">
        <f>SUM(tbTB[[#This Row],[Debit]:[Credit]])</f>
        <v>0</v>
      </c>
      <c r="N41" s="51">
        <f>tbTB[[#This Row],[Opening Balance]]+tbTB[[#This Row],[Mutation]]</f>
        <v>0</v>
      </c>
      <c r="O41" s="51"/>
      <c r="P41" s="52">
        <f>(tbTB[[#This Row],[Reconcile]]&lt;&gt;"")*(tbTB[[#This Row],[Ending Balance]]-tbTB[[#This Row],[Reconcile]])</f>
        <v>0</v>
      </c>
      <c r="Q41" s="53"/>
    </row>
    <row r="42" spans="2:17" x14ac:dyDescent="0.2">
      <c r="B42" s="50" t="e">
        <f>tbCoa[[#This Row],['#]]</f>
        <v>#VALUE!</v>
      </c>
      <c r="C42" s="50" t="e">
        <f>tbCoa[[#This Row],[Number]]</f>
        <v>#VALUE!</v>
      </c>
      <c r="D42" s="50" t="e">
        <f>tbCoa[[#This Row],[Code]]</f>
        <v>#VALUE!</v>
      </c>
      <c r="E42" s="50" t="e">
        <f>tbCoa[[#This Row],[Ori Name]]</f>
        <v>#VALUE!</v>
      </c>
      <c r="F42" s="50" t="e">
        <f>tbCoa[[#This Row],[Status]]</f>
        <v>#VALUE!</v>
      </c>
      <c r="G42" s="50" t="e">
        <f>tbCoa[[#This Row],[Head]]</f>
        <v>#VALUE!</v>
      </c>
      <c r="H42" s="50" t="e">
        <f>tbCoa[[#This Row],[Group]]</f>
        <v>#VALUE!</v>
      </c>
      <c r="I42" s="50" t="e">
        <f>tbCoa[[#This Row],[Rep]]</f>
        <v>#VALUE!</v>
      </c>
      <c r="J42" s="51">
        <f>SUMIFS(tbGj[_amount],tbGj[Date],"&lt;"&amp;_tbStartDate,tbGj[CoaCode],tbTB[[#This Row],[Code]])</f>
        <v>0</v>
      </c>
      <c r="K42" s="51">
        <f>SUMIFS(tbGj[_amount],tbGj[Date],"&gt;="&amp;_tbStartDate,tbGj[Date],"&lt;="&amp;_tbEndDate,tbGj[CoaCode],tbTB[[#This Row],[Code]],tbGj[d/c],"debit")</f>
        <v>0</v>
      </c>
      <c r="L42" s="51">
        <f>SUMIFS(tbGj[_amount],tbGj[Date],"&gt;="&amp;_tbStartDate,tbGj[Date],"&lt;="&amp;_tbEndDate,tbGj[CoaCode],tbTB[[#This Row],[Code]],tbGj[d/c],"credit")</f>
        <v>0</v>
      </c>
      <c r="M42" s="51">
        <f>SUM(tbTB[[#This Row],[Debit]:[Credit]])</f>
        <v>0</v>
      </c>
      <c r="N42" s="51">
        <f>tbTB[[#This Row],[Opening Balance]]+tbTB[[#This Row],[Mutation]]</f>
        <v>0</v>
      </c>
      <c r="O42" s="51"/>
      <c r="P42" s="52">
        <f>(tbTB[[#This Row],[Reconcile]]&lt;&gt;"")*(tbTB[[#This Row],[Ending Balance]]-tbTB[[#This Row],[Reconcile]])</f>
        <v>0</v>
      </c>
      <c r="Q42" s="53"/>
    </row>
    <row r="43" spans="2:17" x14ac:dyDescent="0.2">
      <c r="B43" s="50" t="e">
        <f>tbCoa[[#This Row],['#]]</f>
        <v>#VALUE!</v>
      </c>
      <c r="C43" s="50" t="e">
        <f>tbCoa[[#This Row],[Number]]</f>
        <v>#VALUE!</v>
      </c>
      <c r="D43" s="50" t="e">
        <f>tbCoa[[#This Row],[Code]]</f>
        <v>#VALUE!</v>
      </c>
      <c r="E43" s="50" t="e">
        <f>tbCoa[[#This Row],[Ori Name]]</f>
        <v>#VALUE!</v>
      </c>
      <c r="F43" s="50" t="e">
        <f>tbCoa[[#This Row],[Status]]</f>
        <v>#VALUE!</v>
      </c>
      <c r="G43" s="50" t="e">
        <f>tbCoa[[#This Row],[Head]]</f>
        <v>#VALUE!</v>
      </c>
      <c r="H43" s="50" t="e">
        <f>tbCoa[[#This Row],[Group]]</f>
        <v>#VALUE!</v>
      </c>
      <c r="I43" s="50" t="e">
        <f>tbCoa[[#This Row],[Rep]]</f>
        <v>#VALUE!</v>
      </c>
      <c r="J43" s="51">
        <f>SUMIFS(tbGj[_amount],tbGj[Date],"&lt;"&amp;_tbStartDate,tbGj[CoaCode],tbTB[[#This Row],[Code]])</f>
        <v>0</v>
      </c>
      <c r="K43" s="51">
        <f>SUMIFS(tbGj[_amount],tbGj[Date],"&gt;="&amp;_tbStartDate,tbGj[Date],"&lt;="&amp;_tbEndDate,tbGj[CoaCode],tbTB[[#This Row],[Code]],tbGj[d/c],"debit")</f>
        <v>0</v>
      </c>
      <c r="L43" s="51">
        <f>SUMIFS(tbGj[_amount],tbGj[Date],"&gt;="&amp;_tbStartDate,tbGj[Date],"&lt;="&amp;_tbEndDate,tbGj[CoaCode],tbTB[[#This Row],[Code]],tbGj[d/c],"credit")</f>
        <v>0</v>
      </c>
      <c r="M43" s="51">
        <f>SUM(tbTB[[#This Row],[Debit]:[Credit]])</f>
        <v>0</v>
      </c>
      <c r="N43" s="51">
        <f>tbTB[[#This Row],[Opening Balance]]+tbTB[[#This Row],[Mutation]]</f>
        <v>0</v>
      </c>
      <c r="O43" s="51"/>
      <c r="P43" s="52">
        <f>(tbTB[[#This Row],[Reconcile]]&lt;&gt;"")*(tbTB[[#This Row],[Ending Balance]]-tbTB[[#This Row],[Reconcile]])</f>
        <v>0</v>
      </c>
      <c r="Q43" s="53"/>
    </row>
    <row r="44" spans="2:17" x14ac:dyDescent="0.2">
      <c r="B44" s="50" t="e">
        <f>tbCoa[[#This Row],['#]]</f>
        <v>#VALUE!</v>
      </c>
      <c r="C44" s="50" t="e">
        <f>tbCoa[[#This Row],[Number]]</f>
        <v>#VALUE!</v>
      </c>
      <c r="D44" s="50" t="e">
        <f>tbCoa[[#This Row],[Code]]</f>
        <v>#VALUE!</v>
      </c>
      <c r="E44" s="50" t="e">
        <f>tbCoa[[#This Row],[Ori Name]]</f>
        <v>#VALUE!</v>
      </c>
      <c r="F44" s="50" t="e">
        <f>tbCoa[[#This Row],[Status]]</f>
        <v>#VALUE!</v>
      </c>
      <c r="G44" s="50" t="e">
        <f>tbCoa[[#This Row],[Head]]</f>
        <v>#VALUE!</v>
      </c>
      <c r="H44" s="50" t="e">
        <f>tbCoa[[#This Row],[Group]]</f>
        <v>#VALUE!</v>
      </c>
      <c r="I44" s="50" t="e">
        <f>tbCoa[[#This Row],[Rep]]</f>
        <v>#VALUE!</v>
      </c>
      <c r="J44" s="51">
        <f>SUMIFS(tbGj[_amount],tbGj[Date],"&lt;"&amp;_tbStartDate,tbGj[CoaCode],tbTB[[#This Row],[Code]])</f>
        <v>0</v>
      </c>
      <c r="K44" s="51">
        <f>SUMIFS(tbGj[_amount],tbGj[Date],"&gt;="&amp;_tbStartDate,tbGj[Date],"&lt;="&amp;_tbEndDate,tbGj[CoaCode],tbTB[[#This Row],[Code]],tbGj[d/c],"debit")</f>
        <v>0</v>
      </c>
      <c r="L44" s="51">
        <f>SUMIFS(tbGj[_amount],tbGj[Date],"&gt;="&amp;_tbStartDate,tbGj[Date],"&lt;="&amp;_tbEndDate,tbGj[CoaCode],tbTB[[#This Row],[Code]],tbGj[d/c],"credit")</f>
        <v>0</v>
      </c>
      <c r="M44" s="51">
        <f>SUM(tbTB[[#This Row],[Debit]:[Credit]])</f>
        <v>0</v>
      </c>
      <c r="N44" s="51">
        <f>tbTB[[#This Row],[Opening Balance]]+tbTB[[#This Row],[Mutation]]</f>
        <v>0</v>
      </c>
      <c r="O44" s="51"/>
      <c r="P44" s="52">
        <f>(tbTB[[#This Row],[Reconcile]]&lt;&gt;"")*(tbTB[[#This Row],[Ending Balance]]-tbTB[[#This Row],[Reconcile]])</f>
        <v>0</v>
      </c>
      <c r="Q44" s="53"/>
    </row>
    <row r="45" spans="2:17" x14ac:dyDescent="0.2">
      <c r="B45" s="50" t="e">
        <f>tbCoa[[#This Row],['#]]</f>
        <v>#VALUE!</v>
      </c>
      <c r="C45" s="50" t="e">
        <f>tbCoa[[#This Row],[Number]]</f>
        <v>#VALUE!</v>
      </c>
      <c r="D45" s="50" t="e">
        <f>tbCoa[[#This Row],[Code]]</f>
        <v>#VALUE!</v>
      </c>
      <c r="E45" s="50" t="e">
        <f>tbCoa[[#This Row],[Ori Name]]</f>
        <v>#VALUE!</v>
      </c>
      <c r="F45" s="50" t="e">
        <f>tbCoa[[#This Row],[Status]]</f>
        <v>#VALUE!</v>
      </c>
      <c r="G45" s="50" t="e">
        <f>tbCoa[[#This Row],[Head]]</f>
        <v>#VALUE!</v>
      </c>
      <c r="H45" s="50" t="e">
        <f>tbCoa[[#This Row],[Group]]</f>
        <v>#VALUE!</v>
      </c>
      <c r="I45" s="50" t="e">
        <f>tbCoa[[#This Row],[Rep]]</f>
        <v>#VALUE!</v>
      </c>
      <c r="J45" s="51">
        <f>SUMIFS(tbGj[_amount],tbGj[Date],"&lt;"&amp;_tbStartDate,tbGj[CoaCode],tbTB[[#This Row],[Code]])</f>
        <v>0</v>
      </c>
      <c r="K45" s="51">
        <f>SUMIFS(tbGj[_amount],tbGj[Date],"&gt;="&amp;_tbStartDate,tbGj[Date],"&lt;="&amp;_tbEndDate,tbGj[CoaCode],tbTB[[#This Row],[Code]],tbGj[d/c],"debit")</f>
        <v>0</v>
      </c>
      <c r="L45" s="51">
        <f>SUMIFS(tbGj[_amount],tbGj[Date],"&gt;="&amp;_tbStartDate,tbGj[Date],"&lt;="&amp;_tbEndDate,tbGj[CoaCode],tbTB[[#This Row],[Code]],tbGj[d/c],"credit")</f>
        <v>0</v>
      </c>
      <c r="M45" s="51">
        <f>SUM(tbTB[[#This Row],[Debit]:[Credit]])</f>
        <v>0</v>
      </c>
      <c r="N45" s="51">
        <f>tbTB[[#This Row],[Opening Balance]]+tbTB[[#This Row],[Mutation]]</f>
        <v>0</v>
      </c>
      <c r="O45" s="51"/>
      <c r="P45" s="52">
        <f>(tbTB[[#This Row],[Reconcile]]&lt;&gt;"")*(tbTB[[#This Row],[Ending Balance]]-tbTB[[#This Row],[Reconcile]])</f>
        <v>0</v>
      </c>
      <c r="Q45" s="53"/>
    </row>
    <row r="46" spans="2:17" x14ac:dyDescent="0.2">
      <c r="B46" s="50" t="e">
        <f>tbCoa[[#This Row],['#]]</f>
        <v>#VALUE!</v>
      </c>
      <c r="C46" s="50" t="e">
        <f>tbCoa[[#This Row],[Number]]</f>
        <v>#VALUE!</v>
      </c>
      <c r="D46" s="50" t="e">
        <f>tbCoa[[#This Row],[Code]]</f>
        <v>#VALUE!</v>
      </c>
      <c r="E46" s="50" t="e">
        <f>tbCoa[[#This Row],[Ori Name]]</f>
        <v>#VALUE!</v>
      </c>
      <c r="F46" s="50" t="e">
        <f>tbCoa[[#This Row],[Status]]</f>
        <v>#VALUE!</v>
      </c>
      <c r="G46" s="50" t="e">
        <f>tbCoa[[#This Row],[Head]]</f>
        <v>#VALUE!</v>
      </c>
      <c r="H46" s="50" t="e">
        <f>tbCoa[[#This Row],[Group]]</f>
        <v>#VALUE!</v>
      </c>
      <c r="I46" s="50" t="e">
        <f>tbCoa[[#This Row],[Rep]]</f>
        <v>#VALUE!</v>
      </c>
      <c r="J46" s="51">
        <f>SUMIFS(tbGj[_amount],tbGj[Date],"&lt;"&amp;_tbStartDate,tbGj[CoaCode],tbTB[[#This Row],[Code]])</f>
        <v>0</v>
      </c>
      <c r="K46" s="51">
        <f>SUMIFS(tbGj[_amount],tbGj[Date],"&gt;="&amp;_tbStartDate,tbGj[Date],"&lt;="&amp;_tbEndDate,tbGj[CoaCode],tbTB[[#This Row],[Code]],tbGj[d/c],"debit")</f>
        <v>0</v>
      </c>
      <c r="L46" s="51">
        <f>SUMIFS(tbGj[_amount],tbGj[Date],"&gt;="&amp;_tbStartDate,tbGj[Date],"&lt;="&amp;_tbEndDate,tbGj[CoaCode],tbTB[[#This Row],[Code]],tbGj[d/c],"credit")</f>
        <v>0</v>
      </c>
      <c r="M46" s="51">
        <f>SUM(tbTB[[#This Row],[Debit]:[Credit]])</f>
        <v>0</v>
      </c>
      <c r="N46" s="51">
        <f>tbTB[[#This Row],[Opening Balance]]+tbTB[[#This Row],[Mutation]]</f>
        <v>0</v>
      </c>
      <c r="O46" s="51"/>
      <c r="P46" s="52">
        <f>(tbTB[[#This Row],[Reconcile]]&lt;&gt;"")*(tbTB[[#This Row],[Ending Balance]]-tbTB[[#This Row],[Reconcile]])</f>
        <v>0</v>
      </c>
      <c r="Q46" s="53"/>
    </row>
    <row r="47" spans="2:17" x14ac:dyDescent="0.2">
      <c r="B47" s="50" t="e">
        <f>tbCoa[[#This Row],['#]]</f>
        <v>#VALUE!</v>
      </c>
      <c r="C47" s="50" t="e">
        <f>tbCoa[[#This Row],[Number]]</f>
        <v>#VALUE!</v>
      </c>
      <c r="D47" s="50" t="e">
        <f>tbCoa[[#This Row],[Code]]</f>
        <v>#VALUE!</v>
      </c>
      <c r="E47" s="50" t="e">
        <f>tbCoa[[#This Row],[Ori Name]]</f>
        <v>#VALUE!</v>
      </c>
      <c r="F47" s="50" t="e">
        <f>tbCoa[[#This Row],[Status]]</f>
        <v>#VALUE!</v>
      </c>
      <c r="G47" s="50" t="e">
        <f>tbCoa[[#This Row],[Head]]</f>
        <v>#VALUE!</v>
      </c>
      <c r="H47" s="50" t="e">
        <f>tbCoa[[#This Row],[Group]]</f>
        <v>#VALUE!</v>
      </c>
      <c r="I47" s="50" t="e">
        <f>tbCoa[[#This Row],[Rep]]</f>
        <v>#VALUE!</v>
      </c>
      <c r="J47" s="51">
        <f>SUMIFS(tbGj[_amount],tbGj[Date],"&lt;"&amp;_tbStartDate,tbGj[CoaCode],tbTB[[#This Row],[Code]])</f>
        <v>0</v>
      </c>
      <c r="K47" s="51">
        <f>SUMIFS(tbGj[_amount],tbGj[Date],"&gt;="&amp;_tbStartDate,tbGj[Date],"&lt;="&amp;_tbEndDate,tbGj[CoaCode],tbTB[[#This Row],[Code]],tbGj[d/c],"debit")</f>
        <v>0</v>
      </c>
      <c r="L47" s="51">
        <f>SUMIFS(tbGj[_amount],tbGj[Date],"&gt;="&amp;_tbStartDate,tbGj[Date],"&lt;="&amp;_tbEndDate,tbGj[CoaCode],tbTB[[#This Row],[Code]],tbGj[d/c],"credit")</f>
        <v>0</v>
      </c>
      <c r="M47" s="51">
        <f>SUM(tbTB[[#This Row],[Debit]:[Credit]])</f>
        <v>0</v>
      </c>
      <c r="N47" s="51">
        <f>tbTB[[#This Row],[Opening Balance]]+tbTB[[#This Row],[Mutation]]</f>
        <v>0</v>
      </c>
      <c r="O47" s="51"/>
      <c r="P47" s="52">
        <f>(tbTB[[#This Row],[Reconcile]]&lt;&gt;"")*(tbTB[[#This Row],[Ending Balance]]-tbTB[[#This Row],[Reconcile]])</f>
        <v>0</v>
      </c>
      <c r="Q47" s="53"/>
    </row>
    <row r="48" spans="2:17" x14ac:dyDescent="0.2">
      <c r="B48" s="50" t="e">
        <f>tbCoa[[#This Row],['#]]</f>
        <v>#VALUE!</v>
      </c>
      <c r="C48" s="50" t="e">
        <f>tbCoa[[#This Row],[Number]]</f>
        <v>#VALUE!</v>
      </c>
      <c r="D48" s="50" t="e">
        <f>tbCoa[[#This Row],[Code]]</f>
        <v>#VALUE!</v>
      </c>
      <c r="E48" s="50" t="e">
        <f>tbCoa[[#This Row],[Ori Name]]</f>
        <v>#VALUE!</v>
      </c>
      <c r="F48" s="50" t="e">
        <f>tbCoa[[#This Row],[Status]]</f>
        <v>#VALUE!</v>
      </c>
      <c r="G48" s="50" t="e">
        <f>tbCoa[[#This Row],[Head]]</f>
        <v>#VALUE!</v>
      </c>
      <c r="H48" s="50" t="e">
        <f>tbCoa[[#This Row],[Group]]</f>
        <v>#VALUE!</v>
      </c>
      <c r="I48" s="50" t="e">
        <f>tbCoa[[#This Row],[Rep]]</f>
        <v>#VALUE!</v>
      </c>
      <c r="J48" s="51">
        <f>SUMIFS(tbGj[_amount],tbGj[Date],"&lt;"&amp;_tbStartDate,tbGj[CoaCode],tbTB[[#This Row],[Code]])</f>
        <v>0</v>
      </c>
      <c r="K48" s="51">
        <f>SUMIFS(tbGj[_amount],tbGj[Date],"&gt;="&amp;_tbStartDate,tbGj[Date],"&lt;="&amp;_tbEndDate,tbGj[CoaCode],tbTB[[#This Row],[Code]],tbGj[d/c],"debit")</f>
        <v>0</v>
      </c>
      <c r="L48" s="51">
        <f>SUMIFS(tbGj[_amount],tbGj[Date],"&gt;="&amp;_tbStartDate,tbGj[Date],"&lt;="&amp;_tbEndDate,tbGj[CoaCode],tbTB[[#This Row],[Code]],tbGj[d/c],"credit")</f>
        <v>0</v>
      </c>
      <c r="M48" s="51">
        <f>SUM(tbTB[[#This Row],[Debit]:[Credit]])</f>
        <v>0</v>
      </c>
      <c r="N48" s="51">
        <f>tbTB[[#This Row],[Opening Balance]]+tbTB[[#This Row],[Mutation]]</f>
        <v>0</v>
      </c>
      <c r="O48" s="51"/>
      <c r="P48" s="52">
        <f>(tbTB[[#This Row],[Reconcile]]&lt;&gt;"")*(tbTB[[#This Row],[Ending Balance]]-tbTB[[#This Row],[Reconcile]])</f>
        <v>0</v>
      </c>
      <c r="Q48" s="53"/>
    </row>
    <row r="49" spans="2:17" x14ac:dyDescent="0.2">
      <c r="B49" s="50" t="e">
        <f>tbCoa[[#This Row],['#]]</f>
        <v>#VALUE!</v>
      </c>
      <c r="C49" s="50" t="e">
        <f>tbCoa[[#This Row],[Number]]</f>
        <v>#VALUE!</v>
      </c>
      <c r="D49" s="50" t="e">
        <f>tbCoa[[#This Row],[Code]]</f>
        <v>#VALUE!</v>
      </c>
      <c r="E49" s="50" t="e">
        <f>tbCoa[[#This Row],[Ori Name]]</f>
        <v>#VALUE!</v>
      </c>
      <c r="F49" s="50" t="e">
        <f>tbCoa[[#This Row],[Status]]</f>
        <v>#VALUE!</v>
      </c>
      <c r="G49" s="50" t="e">
        <f>tbCoa[[#This Row],[Head]]</f>
        <v>#VALUE!</v>
      </c>
      <c r="H49" s="50" t="e">
        <f>tbCoa[[#This Row],[Group]]</f>
        <v>#VALUE!</v>
      </c>
      <c r="I49" s="50" t="e">
        <f>tbCoa[[#This Row],[Rep]]</f>
        <v>#VALUE!</v>
      </c>
      <c r="J49" s="51">
        <f>SUMIFS(tbGj[_amount],tbGj[Date],"&lt;"&amp;_tbStartDate,tbGj[CoaCode],tbTB[[#This Row],[Code]])</f>
        <v>0</v>
      </c>
      <c r="K49" s="51">
        <f>SUMIFS(tbGj[_amount],tbGj[Date],"&gt;="&amp;_tbStartDate,tbGj[Date],"&lt;="&amp;_tbEndDate,tbGj[CoaCode],tbTB[[#This Row],[Code]],tbGj[d/c],"debit")</f>
        <v>0</v>
      </c>
      <c r="L49" s="51">
        <f>SUMIFS(tbGj[_amount],tbGj[Date],"&gt;="&amp;_tbStartDate,tbGj[Date],"&lt;="&amp;_tbEndDate,tbGj[CoaCode],tbTB[[#This Row],[Code]],tbGj[d/c],"credit")</f>
        <v>0</v>
      </c>
      <c r="M49" s="51">
        <f>SUM(tbTB[[#This Row],[Debit]:[Credit]])</f>
        <v>0</v>
      </c>
      <c r="N49" s="51">
        <f>tbTB[[#This Row],[Opening Balance]]+tbTB[[#This Row],[Mutation]]</f>
        <v>0</v>
      </c>
      <c r="O49" s="51"/>
      <c r="P49" s="52">
        <f>(tbTB[[#This Row],[Reconcile]]&lt;&gt;"")*(tbTB[[#This Row],[Ending Balance]]-tbTB[[#This Row],[Reconcile]])</f>
        <v>0</v>
      </c>
      <c r="Q49" s="53"/>
    </row>
    <row r="50" spans="2:17" x14ac:dyDescent="0.2">
      <c r="B50" s="50" t="e">
        <f>tbCoa[[#This Row],['#]]</f>
        <v>#VALUE!</v>
      </c>
      <c r="C50" s="50" t="e">
        <f>tbCoa[[#This Row],[Number]]</f>
        <v>#VALUE!</v>
      </c>
      <c r="D50" s="50" t="e">
        <f>tbCoa[[#This Row],[Code]]</f>
        <v>#VALUE!</v>
      </c>
      <c r="E50" s="50" t="e">
        <f>tbCoa[[#This Row],[Ori Name]]</f>
        <v>#VALUE!</v>
      </c>
      <c r="F50" s="50" t="e">
        <f>tbCoa[[#This Row],[Status]]</f>
        <v>#VALUE!</v>
      </c>
      <c r="G50" s="50" t="e">
        <f>tbCoa[[#This Row],[Head]]</f>
        <v>#VALUE!</v>
      </c>
      <c r="H50" s="50" t="e">
        <f>tbCoa[[#This Row],[Group]]</f>
        <v>#VALUE!</v>
      </c>
      <c r="I50" s="50" t="e">
        <f>tbCoa[[#This Row],[Rep]]</f>
        <v>#VALUE!</v>
      </c>
      <c r="J50" s="51">
        <f>SUMIFS(tbGj[_amount],tbGj[Date],"&lt;"&amp;_tbStartDate,tbGj[CoaCode],tbTB[[#This Row],[Code]])</f>
        <v>0</v>
      </c>
      <c r="K50" s="51">
        <f>SUMIFS(tbGj[_amount],tbGj[Date],"&gt;="&amp;_tbStartDate,tbGj[Date],"&lt;="&amp;_tbEndDate,tbGj[CoaCode],tbTB[[#This Row],[Code]],tbGj[d/c],"debit")</f>
        <v>0</v>
      </c>
      <c r="L50" s="51">
        <f>SUMIFS(tbGj[_amount],tbGj[Date],"&gt;="&amp;_tbStartDate,tbGj[Date],"&lt;="&amp;_tbEndDate,tbGj[CoaCode],tbTB[[#This Row],[Code]],tbGj[d/c],"credit")</f>
        <v>0</v>
      </c>
      <c r="M50" s="51">
        <f>SUM(tbTB[[#This Row],[Debit]:[Credit]])</f>
        <v>0</v>
      </c>
      <c r="N50" s="51">
        <f>tbTB[[#This Row],[Opening Balance]]+tbTB[[#This Row],[Mutation]]</f>
        <v>0</v>
      </c>
      <c r="O50" s="51"/>
      <c r="P50" s="52">
        <f>(tbTB[[#This Row],[Reconcile]]&lt;&gt;"")*(tbTB[[#This Row],[Ending Balance]]-tbTB[[#This Row],[Reconcile]])</f>
        <v>0</v>
      </c>
      <c r="Q50" s="53"/>
    </row>
    <row r="51" spans="2:17" x14ac:dyDescent="0.2">
      <c r="B51" s="50" t="e">
        <f>tbCoa[[#This Row],['#]]</f>
        <v>#VALUE!</v>
      </c>
      <c r="C51" s="50" t="e">
        <f>tbCoa[[#This Row],[Number]]</f>
        <v>#VALUE!</v>
      </c>
      <c r="D51" s="50" t="e">
        <f>tbCoa[[#This Row],[Code]]</f>
        <v>#VALUE!</v>
      </c>
      <c r="E51" s="50" t="e">
        <f>tbCoa[[#This Row],[Ori Name]]</f>
        <v>#VALUE!</v>
      </c>
      <c r="F51" s="50" t="e">
        <f>tbCoa[[#This Row],[Status]]</f>
        <v>#VALUE!</v>
      </c>
      <c r="G51" s="50" t="e">
        <f>tbCoa[[#This Row],[Head]]</f>
        <v>#VALUE!</v>
      </c>
      <c r="H51" s="50" t="e">
        <f>tbCoa[[#This Row],[Group]]</f>
        <v>#VALUE!</v>
      </c>
      <c r="I51" s="50" t="e">
        <f>tbCoa[[#This Row],[Rep]]</f>
        <v>#VALUE!</v>
      </c>
      <c r="J51" s="51">
        <f>SUMIFS(tbGj[_amount],tbGj[Date],"&lt;"&amp;_tbStartDate,tbGj[CoaCode],tbTB[[#This Row],[Code]])</f>
        <v>0</v>
      </c>
      <c r="K51" s="51">
        <f>SUMIFS(tbGj[_amount],tbGj[Date],"&gt;="&amp;_tbStartDate,tbGj[Date],"&lt;="&amp;_tbEndDate,tbGj[CoaCode],tbTB[[#This Row],[Code]],tbGj[d/c],"debit")</f>
        <v>0</v>
      </c>
      <c r="L51" s="51">
        <f>SUMIFS(tbGj[_amount],tbGj[Date],"&gt;="&amp;_tbStartDate,tbGj[Date],"&lt;="&amp;_tbEndDate,tbGj[CoaCode],tbTB[[#This Row],[Code]],tbGj[d/c],"credit")</f>
        <v>0</v>
      </c>
      <c r="M51" s="51">
        <f>SUM(tbTB[[#This Row],[Debit]:[Credit]])</f>
        <v>0</v>
      </c>
      <c r="N51" s="51">
        <f>tbTB[[#This Row],[Opening Balance]]+tbTB[[#This Row],[Mutation]]</f>
        <v>0</v>
      </c>
      <c r="O51" s="51"/>
      <c r="P51" s="52">
        <f>(tbTB[[#This Row],[Reconcile]]&lt;&gt;"")*(tbTB[[#This Row],[Ending Balance]]-tbTB[[#This Row],[Reconcile]])</f>
        <v>0</v>
      </c>
      <c r="Q51" s="53"/>
    </row>
    <row r="52" spans="2:17" x14ac:dyDescent="0.2">
      <c r="B52" s="50" t="e">
        <f>tbCoa[[#This Row],['#]]</f>
        <v>#VALUE!</v>
      </c>
      <c r="C52" s="50" t="e">
        <f>tbCoa[[#This Row],[Number]]</f>
        <v>#VALUE!</v>
      </c>
      <c r="D52" s="50" t="e">
        <f>tbCoa[[#This Row],[Code]]</f>
        <v>#VALUE!</v>
      </c>
      <c r="E52" s="50" t="e">
        <f>tbCoa[[#This Row],[Ori Name]]</f>
        <v>#VALUE!</v>
      </c>
      <c r="F52" s="50" t="e">
        <f>tbCoa[[#This Row],[Status]]</f>
        <v>#VALUE!</v>
      </c>
      <c r="G52" s="50" t="e">
        <f>tbCoa[[#This Row],[Head]]</f>
        <v>#VALUE!</v>
      </c>
      <c r="H52" s="50" t="e">
        <f>tbCoa[[#This Row],[Group]]</f>
        <v>#VALUE!</v>
      </c>
      <c r="I52" s="50" t="e">
        <f>tbCoa[[#This Row],[Rep]]</f>
        <v>#VALUE!</v>
      </c>
      <c r="J52" s="51">
        <f>SUMIFS(tbGj[_amount],tbGj[Date],"&lt;"&amp;_tbStartDate,tbGj[CoaCode],tbTB[[#This Row],[Code]])</f>
        <v>0</v>
      </c>
      <c r="K52" s="51">
        <f>SUMIFS(tbGj[_amount],tbGj[Date],"&gt;="&amp;_tbStartDate,tbGj[Date],"&lt;="&amp;_tbEndDate,tbGj[CoaCode],tbTB[[#This Row],[Code]],tbGj[d/c],"debit")</f>
        <v>0</v>
      </c>
      <c r="L52" s="51">
        <f>SUMIFS(tbGj[_amount],tbGj[Date],"&gt;="&amp;_tbStartDate,tbGj[Date],"&lt;="&amp;_tbEndDate,tbGj[CoaCode],tbTB[[#This Row],[Code]],tbGj[d/c],"credit")</f>
        <v>0</v>
      </c>
      <c r="M52" s="51">
        <f>SUM(tbTB[[#This Row],[Debit]:[Credit]])</f>
        <v>0</v>
      </c>
      <c r="N52" s="51">
        <f>tbTB[[#This Row],[Opening Balance]]+tbTB[[#This Row],[Mutation]]</f>
        <v>0</v>
      </c>
      <c r="O52" s="51"/>
      <c r="P52" s="52">
        <f>(tbTB[[#This Row],[Reconcile]]&lt;&gt;"")*(tbTB[[#This Row],[Ending Balance]]-tbTB[[#This Row],[Reconcile]])</f>
        <v>0</v>
      </c>
      <c r="Q52" s="53"/>
    </row>
    <row r="53" spans="2:17" x14ac:dyDescent="0.2">
      <c r="B53" s="50" t="e">
        <f>tbCoa[[#This Row],['#]]</f>
        <v>#VALUE!</v>
      </c>
      <c r="C53" s="50" t="e">
        <f>tbCoa[[#This Row],[Number]]</f>
        <v>#VALUE!</v>
      </c>
      <c r="D53" s="50" t="e">
        <f>tbCoa[[#This Row],[Code]]</f>
        <v>#VALUE!</v>
      </c>
      <c r="E53" s="50" t="e">
        <f>tbCoa[[#This Row],[Ori Name]]</f>
        <v>#VALUE!</v>
      </c>
      <c r="F53" s="50" t="e">
        <f>tbCoa[[#This Row],[Status]]</f>
        <v>#VALUE!</v>
      </c>
      <c r="G53" s="50" t="e">
        <f>tbCoa[[#This Row],[Head]]</f>
        <v>#VALUE!</v>
      </c>
      <c r="H53" s="50" t="e">
        <f>tbCoa[[#This Row],[Group]]</f>
        <v>#VALUE!</v>
      </c>
      <c r="I53" s="50" t="e">
        <f>tbCoa[[#This Row],[Rep]]</f>
        <v>#VALUE!</v>
      </c>
      <c r="J53" s="51">
        <f>SUMIFS(tbGj[_amount],tbGj[Date],"&lt;"&amp;_tbStartDate,tbGj[CoaCode],tbTB[[#This Row],[Code]])</f>
        <v>0</v>
      </c>
      <c r="K53" s="51">
        <f>SUMIFS(tbGj[_amount],tbGj[Date],"&gt;="&amp;_tbStartDate,tbGj[Date],"&lt;="&amp;_tbEndDate,tbGj[CoaCode],tbTB[[#This Row],[Code]],tbGj[d/c],"debit")</f>
        <v>0</v>
      </c>
      <c r="L53" s="51">
        <f>SUMIFS(tbGj[_amount],tbGj[Date],"&gt;="&amp;_tbStartDate,tbGj[Date],"&lt;="&amp;_tbEndDate,tbGj[CoaCode],tbTB[[#This Row],[Code]],tbGj[d/c],"credit")</f>
        <v>0</v>
      </c>
      <c r="M53" s="51">
        <f>SUM(tbTB[[#This Row],[Debit]:[Credit]])</f>
        <v>0</v>
      </c>
      <c r="N53" s="51">
        <f>tbTB[[#This Row],[Opening Balance]]+tbTB[[#This Row],[Mutation]]</f>
        <v>0</v>
      </c>
      <c r="O53" s="51"/>
      <c r="P53" s="52">
        <f>(tbTB[[#This Row],[Reconcile]]&lt;&gt;"")*(tbTB[[#This Row],[Ending Balance]]-tbTB[[#This Row],[Reconcile]])</f>
        <v>0</v>
      </c>
      <c r="Q53" s="53"/>
    </row>
  </sheetData>
  <phoneticPr fontId="8" type="noConversion"/>
  <conditionalFormatting sqref="B6:N53">
    <cfRule type="expression" dxfId="34" priority="5">
      <formula>$F6="Deactive"</formula>
    </cfRule>
  </conditionalFormatting>
  <conditionalFormatting sqref="K2">
    <cfRule type="cellIs" dxfId="33" priority="4" operator="equal">
      <formula>0</formula>
    </cfRule>
  </conditionalFormatting>
  <conditionalFormatting sqref="N3">
    <cfRule type="cellIs" dxfId="32" priority="2" operator="between">
      <formula>-0.5</formula>
      <formula>0.5</formula>
    </cfRule>
  </conditionalFormatting>
  <conditionalFormatting sqref="P6:P53">
    <cfRule type="cellIs" dxfId="31" priority="1" operator="notEqual">
      <formula>0</formula>
    </cfRule>
  </conditionalFormatting>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CDC25-BFC2-4C47-AB8C-DC9358993390}">
  <sheetPr codeName="shAudit">
    <tabColor rgb="FFFFC000"/>
  </sheetPr>
  <dimension ref="B1:E33"/>
  <sheetViews>
    <sheetView showGridLines="0" zoomScale="160" zoomScaleNormal="160" workbookViewId="0">
      <pane xSplit="1" ySplit="3" topLeftCell="B4" activePane="bottomRight" state="frozen"/>
      <selection pane="topRight" activeCell="B1" sqref="B1"/>
      <selection pane="bottomLeft" activeCell="A4" sqref="A4"/>
      <selection pane="bottomRight" activeCell="C25" sqref="C25"/>
    </sheetView>
  </sheetViews>
  <sheetFormatPr defaultRowHeight="12.75" x14ac:dyDescent="0.2"/>
  <cols>
    <col min="1" max="1" width="1" style="11" customWidth="1"/>
    <col min="2" max="2" width="12.7109375" style="12" customWidth="1"/>
    <col min="3" max="5" width="15.140625" style="11" customWidth="1"/>
    <col min="6" max="16384" width="9.140625" style="11"/>
  </cols>
  <sheetData>
    <row r="1" spans="2:5" x14ac:dyDescent="0.2">
      <c r="B1" s="76" t="s">
        <v>88</v>
      </c>
      <c r="D1" s="11" t="s">
        <v>100</v>
      </c>
    </row>
    <row r="2" spans="2:5" ht="3.75" customHeight="1" x14ac:dyDescent="0.2">
      <c r="B2" s="11"/>
    </row>
    <row r="3" spans="2:5" x14ac:dyDescent="0.2">
      <c r="B3" s="2" t="s">
        <v>25</v>
      </c>
      <c r="C3" s="2" t="s">
        <v>57</v>
      </c>
      <c r="D3" s="2" t="s">
        <v>58</v>
      </c>
      <c r="E3" s="2" t="s">
        <v>87</v>
      </c>
    </row>
    <row r="4" spans="2:5" x14ac:dyDescent="0.2">
      <c r="B4" s="12">
        <v>45870</v>
      </c>
      <c r="C4" s="13">
        <f>SUMIFS(tbGj[Amount],tbGj[Date],audit!$B4,tbGj[d/c],audit!C$3)</f>
        <v>0</v>
      </c>
      <c r="D4" s="13">
        <f>SUMIFS(tbGj[Amount],tbGj[Date],audit!$B4,tbGj[d/c],audit!D$3)</f>
        <v>0</v>
      </c>
      <c r="E4" s="13">
        <f>C4-D4</f>
        <v>0</v>
      </c>
    </row>
    <row r="5" spans="2:5" x14ac:dyDescent="0.2">
      <c r="B5" s="12">
        <v>45871</v>
      </c>
      <c r="C5" s="13">
        <f>SUMIFS(tbGj[Amount],tbGj[Date],audit!$B5,tbGj[d/c],audit!C$3)</f>
        <v>0</v>
      </c>
      <c r="D5" s="13">
        <f>SUMIFS(tbGj[Amount],tbGj[Date],audit!$B5,tbGj[d/c],audit!D$3)</f>
        <v>0</v>
      </c>
      <c r="E5" s="13">
        <f t="shared" ref="E5:E33" si="0">C5-D5</f>
        <v>0</v>
      </c>
    </row>
    <row r="6" spans="2:5" x14ac:dyDescent="0.2">
      <c r="B6" s="12">
        <v>45872</v>
      </c>
      <c r="C6" s="13">
        <f>SUMIFS(tbGj[Amount],tbGj[Date],audit!$B6,tbGj[d/c],audit!C$3)</f>
        <v>0</v>
      </c>
      <c r="D6" s="13">
        <f>SUMIFS(tbGj[Amount],tbGj[Date],audit!$B6,tbGj[d/c],audit!D$3)</f>
        <v>0</v>
      </c>
      <c r="E6" s="13">
        <f t="shared" si="0"/>
        <v>0</v>
      </c>
    </row>
    <row r="7" spans="2:5" x14ac:dyDescent="0.2">
      <c r="B7" s="12">
        <v>45873</v>
      </c>
      <c r="C7" s="13">
        <f>SUMIFS(tbGj[Amount],tbGj[Date],audit!$B7,tbGj[d/c],audit!C$3)</f>
        <v>0</v>
      </c>
      <c r="D7" s="13">
        <f>SUMIFS(tbGj[Amount],tbGj[Date],audit!$B7,tbGj[d/c],audit!D$3)</f>
        <v>0</v>
      </c>
      <c r="E7" s="13">
        <f t="shared" si="0"/>
        <v>0</v>
      </c>
    </row>
    <row r="8" spans="2:5" x14ac:dyDescent="0.2">
      <c r="B8" s="12">
        <v>45874</v>
      </c>
      <c r="C8" s="13">
        <f>SUMIFS(tbGj[Amount],tbGj[Date],audit!$B8,tbGj[d/c],audit!C$3)</f>
        <v>0</v>
      </c>
      <c r="D8" s="13">
        <f>SUMIFS(tbGj[Amount],tbGj[Date],audit!$B8,tbGj[d/c],audit!D$3)</f>
        <v>0</v>
      </c>
      <c r="E8" s="13">
        <f t="shared" si="0"/>
        <v>0</v>
      </c>
    </row>
    <row r="9" spans="2:5" x14ac:dyDescent="0.2">
      <c r="B9" s="12">
        <v>45875</v>
      </c>
      <c r="C9" s="13">
        <f>SUMIFS(tbGj[Amount],tbGj[Date],audit!$B9,tbGj[d/c],audit!C$3)</f>
        <v>0</v>
      </c>
      <c r="D9" s="13">
        <f>SUMIFS(tbGj[Amount],tbGj[Date],audit!$B9,tbGj[d/c],audit!D$3)</f>
        <v>0</v>
      </c>
      <c r="E9" s="13">
        <f t="shared" si="0"/>
        <v>0</v>
      </c>
    </row>
    <row r="10" spans="2:5" x14ac:dyDescent="0.2">
      <c r="B10" s="12">
        <v>45876</v>
      </c>
      <c r="C10" s="13">
        <f>SUMIFS(tbGj[Amount],tbGj[Date],audit!$B10,tbGj[d/c],audit!C$3)</f>
        <v>0</v>
      </c>
      <c r="D10" s="13">
        <f>SUMIFS(tbGj[Amount],tbGj[Date],audit!$B10,tbGj[d/c],audit!D$3)</f>
        <v>0</v>
      </c>
      <c r="E10" s="13">
        <f t="shared" si="0"/>
        <v>0</v>
      </c>
    </row>
    <row r="11" spans="2:5" x14ac:dyDescent="0.2">
      <c r="B11" s="12">
        <v>45877</v>
      </c>
      <c r="C11" s="13">
        <f>SUMIFS(tbGj[Amount],tbGj[Date],audit!$B11,tbGj[d/c],audit!C$3)</f>
        <v>0</v>
      </c>
      <c r="D11" s="13">
        <f>SUMIFS(tbGj[Amount],tbGj[Date],audit!$B11,tbGj[d/c],audit!D$3)</f>
        <v>0</v>
      </c>
      <c r="E11" s="13">
        <f t="shared" si="0"/>
        <v>0</v>
      </c>
    </row>
    <row r="12" spans="2:5" x14ac:dyDescent="0.2">
      <c r="B12" s="12">
        <v>45878</v>
      </c>
      <c r="C12" s="13">
        <f>SUMIFS(tbGj[Amount],tbGj[Date],audit!$B12,tbGj[d/c],audit!C$3)</f>
        <v>0</v>
      </c>
      <c r="D12" s="13">
        <f>SUMIFS(tbGj[Amount],tbGj[Date],audit!$B12,tbGj[d/c],audit!D$3)</f>
        <v>0</v>
      </c>
      <c r="E12" s="13">
        <f t="shared" si="0"/>
        <v>0</v>
      </c>
    </row>
    <row r="13" spans="2:5" x14ac:dyDescent="0.2">
      <c r="B13" s="12">
        <v>45879</v>
      </c>
      <c r="C13" s="13">
        <f>SUMIFS(tbGj[Amount],tbGj[Date],audit!$B13,tbGj[d/c],audit!C$3)</f>
        <v>0</v>
      </c>
      <c r="D13" s="13">
        <f>SUMIFS(tbGj[Amount],tbGj[Date],audit!$B13,tbGj[d/c],audit!D$3)</f>
        <v>0</v>
      </c>
      <c r="E13" s="13">
        <f t="shared" si="0"/>
        <v>0</v>
      </c>
    </row>
    <row r="14" spans="2:5" x14ac:dyDescent="0.2">
      <c r="B14" s="12">
        <v>45880</v>
      </c>
      <c r="C14" s="13">
        <f>SUMIFS(tbGj[Amount],tbGj[Date],audit!$B14,tbGj[d/c],audit!C$3)</f>
        <v>0</v>
      </c>
      <c r="D14" s="13">
        <f>SUMIFS(tbGj[Amount],tbGj[Date],audit!$B14,tbGj[d/c],audit!D$3)</f>
        <v>0</v>
      </c>
      <c r="E14" s="13">
        <f t="shared" si="0"/>
        <v>0</v>
      </c>
    </row>
    <row r="15" spans="2:5" x14ac:dyDescent="0.2">
      <c r="B15" s="12">
        <v>45881</v>
      </c>
      <c r="C15" s="13">
        <f>SUMIFS(tbGj[Amount],tbGj[Date],audit!$B15,tbGj[d/c],audit!C$3)</f>
        <v>0</v>
      </c>
      <c r="D15" s="13">
        <f>SUMIFS(tbGj[Amount],tbGj[Date],audit!$B15,tbGj[d/c],audit!D$3)</f>
        <v>0</v>
      </c>
      <c r="E15" s="13">
        <f t="shared" si="0"/>
        <v>0</v>
      </c>
    </row>
    <row r="16" spans="2:5" x14ac:dyDescent="0.2">
      <c r="B16" s="12">
        <v>45882</v>
      </c>
      <c r="C16" s="13">
        <f>SUMIFS(tbGj[Amount],tbGj[Date],audit!$B16,tbGj[d/c],audit!C$3)</f>
        <v>0</v>
      </c>
      <c r="D16" s="13">
        <f>SUMIFS(tbGj[Amount],tbGj[Date],audit!$B16,tbGj[d/c],audit!D$3)</f>
        <v>0</v>
      </c>
      <c r="E16" s="13">
        <f t="shared" si="0"/>
        <v>0</v>
      </c>
    </row>
    <row r="17" spans="2:5" x14ac:dyDescent="0.2">
      <c r="B17" s="12">
        <v>45883</v>
      </c>
      <c r="C17" s="13">
        <f>SUMIFS(tbGj[Amount],tbGj[Date],audit!$B17,tbGj[d/c],audit!C$3)</f>
        <v>0</v>
      </c>
      <c r="D17" s="13">
        <f>SUMIFS(tbGj[Amount],tbGj[Date],audit!$B17,tbGj[d/c],audit!D$3)</f>
        <v>0</v>
      </c>
      <c r="E17" s="13">
        <f t="shared" si="0"/>
        <v>0</v>
      </c>
    </row>
    <row r="18" spans="2:5" x14ac:dyDescent="0.2">
      <c r="B18" s="12">
        <v>45884</v>
      </c>
      <c r="C18" s="13">
        <f>SUMIFS(tbGj[Amount],tbGj[Date],audit!$B18,tbGj[d/c],audit!C$3)</f>
        <v>0</v>
      </c>
      <c r="D18" s="13">
        <f>SUMIFS(tbGj[Amount],tbGj[Date],audit!$B18,tbGj[d/c],audit!D$3)</f>
        <v>0</v>
      </c>
      <c r="E18" s="13">
        <f t="shared" si="0"/>
        <v>0</v>
      </c>
    </row>
    <row r="19" spans="2:5" x14ac:dyDescent="0.2">
      <c r="B19" s="12">
        <v>45885</v>
      </c>
      <c r="C19" s="13">
        <f>SUMIFS(tbGj[Amount],tbGj[Date],audit!$B19,tbGj[d/c],audit!C$3)</f>
        <v>0</v>
      </c>
      <c r="D19" s="13">
        <f>SUMIFS(tbGj[Amount],tbGj[Date],audit!$B19,tbGj[d/c],audit!D$3)</f>
        <v>0</v>
      </c>
      <c r="E19" s="13">
        <f t="shared" si="0"/>
        <v>0</v>
      </c>
    </row>
    <row r="20" spans="2:5" x14ac:dyDescent="0.2">
      <c r="B20" s="12">
        <v>45886</v>
      </c>
      <c r="C20" s="13">
        <f>SUMIFS(tbGj[Amount],tbGj[Date],audit!$B20,tbGj[d/c],audit!C$3)</f>
        <v>0</v>
      </c>
      <c r="D20" s="13">
        <f>SUMIFS(tbGj[Amount],tbGj[Date],audit!$B20,tbGj[d/c],audit!D$3)</f>
        <v>0</v>
      </c>
      <c r="E20" s="13">
        <f>C20-D20</f>
        <v>0</v>
      </c>
    </row>
    <row r="21" spans="2:5" x14ac:dyDescent="0.2">
      <c r="B21" s="12">
        <v>45887</v>
      </c>
      <c r="C21" s="13">
        <f>SUMIFS(tbGj[Amount],tbGj[Date],audit!$B21,tbGj[d/c],audit!C$3)</f>
        <v>0</v>
      </c>
      <c r="D21" s="13">
        <f>SUMIFS(tbGj[Amount],tbGj[Date],audit!$B21,tbGj[d/c],audit!D$3)</f>
        <v>0</v>
      </c>
      <c r="E21" s="13">
        <f t="shared" si="0"/>
        <v>0</v>
      </c>
    </row>
    <row r="22" spans="2:5" x14ac:dyDescent="0.2">
      <c r="B22" s="12">
        <v>45888</v>
      </c>
      <c r="C22" s="13">
        <f>SUMIFS(tbGj[Amount],tbGj[Date],audit!$B22,tbGj[d/c],audit!C$3)</f>
        <v>0</v>
      </c>
      <c r="D22" s="13">
        <f>SUMIFS(tbGj[Amount],tbGj[Date],audit!$B22,tbGj[d/c],audit!D$3)</f>
        <v>0</v>
      </c>
      <c r="E22" s="13">
        <f t="shared" si="0"/>
        <v>0</v>
      </c>
    </row>
    <row r="23" spans="2:5" x14ac:dyDescent="0.2">
      <c r="B23" s="12">
        <v>45889</v>
      </c>
      <c r="C23" s="13">
        <f>SUMIFS(tbGj[Amount],tbGj[Date],audit!$B23,tbGj[d/c],audit!C$3)</f>
        <v>0</v>
      </c>
      <c r="D23" s="13">
        <f>SUMIFS(tbGj[Amount],tbGj[Date],audit!$B23,tbGj[d/c],audit!D$3)</f>
        <v>0</v>
      </c>
      <c r="E23" s="13">
        <f t="shared" si="0"/>
        <v>0</v>
      </c>
    </row>
    <row r="24" spans="2:5" x14ac:dyDescent="0.2">
      <c r="B24" s="12">
        <v>45890</v>
      </c>
      <c r="C24" s="13">
        <f>SUMIFS(tbGj[Amount],tbGj[Date],audit!$B24,tbGj[d/c],audit!C$3)</f>
        <v>0</v>
      </c>
      <c r="D24" s="13">
        <f>SUMIFS(tbGj[Amount],tbGj[Date],audit!$B24,tbGj[d/c],audit!D$3)</f>
        <v>0</v>
      </c>
      <c r="E24" s="13">
        <f>C24-D24</f>
        <v>0</v>
      </c>
    </row>
    <row r="25" spans="2:5" x14ac:dyDescent="0.2">
      <c r="B25" s="12">
        <v>45891</v>
      </c>
      <c r="C25" s="13">
        <f>SUMIFS(tbGj[Amount],tbGj[Date],audit!$B25,tbGj[d/c],audit!C$3)</f>
        <v>0</v>
      </c>
      <c r="D25" s="13">
        <f>SUMIFS(tbGj[Amount],tbGj[Date],audit!$B25,tbGj[d/c],audit!D$3)</f>
        <v>0</v>
      </c>
      <c r="E25" s="13">
        <f t="shared" si="0"/>
        <v>0</v>
      </c>
    </row>
    <row r="26" spans="2:5" x14ac:dyDescent="0.2">
      <c r="B26" s="12">
        <v>45892</v>
      </c>
      <c r="C26" s="13">
        <f>SUMIFS(tbGj[Amount],tbGj[Date],audit!$B26,tbGj[d/c],audit!C$3)</f>
        <v>0</v>
      </c>
      <c r="D26" s="13">
        <f>SUMIFS(tbGj[Amount],tbGj[Date],audit!$B26,tbGj[d/c],audit!D$3)</f>
        <v>0</v>
      </c>
      <c r="E26" s="13">
        <f t="shared" si="0"/>
        <v>0</v>
      </c>
    </row>
    <row r="27" spans="2:5" x14ac:dyDescent="0.2">
      <c r="B27" s="12">
        <v>45893</v>
      </c>
      <c r="C27" s="13">
        <f>SUMIFS(tbGj[Amount],tbGj[Date],audit!$B27,tbGj[d/c],audit!C$3)</f>
        <v>0</v>
      </c>
      <c r="D27" s="13">
        <f>SUMIFS(tbGj[Amount],tbGj[Date],audit!$B27,tbGj[d/c],audit!D$3)</f>
        <v>0</v>
      </c>
      <c r="E27" s="13">
        <f t="shared" si="0"/>
        <v>0</v>
      </c>
    </row>
    <row r="28" spans="2:5" x14ac:dyDescent="0.2">
      <c r="B28" s="12">
        <v>45894</v>
      </c>
      <c r="C28" s="13">
        <f>SUMIFS(tbGj[Amount],tbGj[Date],audit!$B28,tbGj[d/c],audit!C$3)</f>
        <v>0</v>
      </c>
      <c r="D28" s="13">
        <f>SUMIFS(tbGj[Amount],tbGj[Date],audit!$B28,tbGj[d/c],audit!D$3)</f>
        <v>0</v>
      </c>
      <c r="E28" s="13">
        <f t="shared" si="0"/>
        <v>0</v>
      </c>
    </row>
    <row r="29" spans="2:5" x14ac:dyDescent="0.2">
      <c r="B29" s="12">
        <v>45895</v>
      </c>
      <c r="C29" s="13">
        <f>SUMIFS(tbGj[Amount],tbGj[Date],audit!$B29,tbGj[d/c],audit!C$3)</f>
        <v>0</v>
      </c>
      <c r="D29" s="13">
        <f>SUMIFS(tbGj[Amount],tbGj[Date],audit!$B29,tbGj[d/c],audit!D$3)</f>
        <v>0</v>
      </c>
      <c r="E29" s="13">
        <f t="shared" si="0"/>
        <v>0</v>
      </c>
    </row>
    <row r="30" spans="2:5" x14ac:dyDescent="0.2">
      <c r="B30" s="12">
        <v>45896</v>
      </c>
      <c r="C30" s="13">
        <f>SUMIFS(tbGj[Amount],tbGj[Date],audit!$B30,tbGj[d/c],audit!C$3)</f>
        <v>0</v>
      </c>
      <c r="D30" s="13">
        <f>SUMIFS(tbGj[Amount],tbGj[Date],audit!$B30,tbGj[d/c],audit!D$3)</f>
        <v>0</v>
      </c>
      <c r="E30" s="13">
        <f t="shared" si="0"/>
        <v>0</v>
      </c>
    </row>
    <row r="31" spans="2:5" x14ac:dyDescent="0.2">
      <c r="B31" s="12">
        <v>45897</v>
      </c>
      <c r="C31" s="13">
        <f>SUMIFS(tbGj[Amount],tbGj[Date],audit!$B31,tbGj[d/c],audit!C$3)</f>
        <v>0</v>
      </c>
      <c r="D31" s="13">
        <f>SUMIFS(tbGj[Amount],tbGj[Date],audit!$B31,tbGj[d/c],audit!D$3)</f>
        <v>0</v>
      </c>
      <c r="E31" s="13">
        <f t="shared" si="0"/>
        <v>0</v>
      </c>
    </row>
    <row r="32" spans="2:5" x14ac:dyDescent="0.2">
      <c r="B32" s="12">
        <v>45898</v>
      </c>
      <c r="C32" s="13">
        <f>SUMIFS(tbGj[Amount],tbGj[Date],audit!$B32,tbGj[d/c],audit!C$3)</f>
        <v>0</v>
      </c>
      <c r="D32" s="13">
        <f>SUMIFS(tbGj[Amount],tbGj[Date],audit!$B32,tbGj[d/c],audit!D$3)</f>
        <v>0</v>
      </c>
      <c r="E32" s="13">
        <f t="shared" si="0"/>
        <v>0</v>
      </c>
    </row>
    <row r="33" spans="2:5" x14ac:dyDescent="0.2">
      <c r="B33" s="12">
        <v>45899</v>
      </c>
      <c r="C33" s="13">
        <f>SUMIFS(tbGj[Amount],tbGj[Date],audit!$B33,tbGj[d/c],audit!C$3)</f>
        <v>0</v>
      </c>
      <c r="D33" s="13">
        <f>SUMIFS(tbGj[Amount],tbGj[Date],audit!$B33,tbGj[d/c],audit!D$3)</f>
        <v>0</v>
      </c>
      <c r="E33" s="13">
        <f t="shared" si="0"/>
        <v>0</v>
      </c>
    </row>
  </sheetData>
  <conditionalFormatting sqref="E4:E33">
    <cfRule type="cellIs" dxfId="12" priority="1" operator="notEqual">
      <formula>0</formula>
    </cfRule>
    <cfRule type="cellIs" dxfId="11" priority="2" operator="equal">
      <formula>0</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7C98C-732C-4D0B-922C-B021DD49CBAC}">
  <sheetPr codeName="sh_todo"/>
  <dimension ref="B2:D21"/>
  <sheetViews>
    <sheetView zoomScale="235" zoomScaleNormal="235" workbookViewId="0">
      <selection activeCell="B7" sqref="B7"/>
    </sheetView>
  </sheetViews>
  <sheetFormatPr defaultRowHeight="12.75" x14ac:dyDescent="0.2"/>
  <cols>
    <col min="1" max="1" width="1.85546875" customWidth="1"/>
    <col min="2" max="2" width="58" bestFit="1" customWidth="1"/>
    <col min="5" max="5" width="13.85546875" customWidth="1"/>
  </cols>
  <sheetData>
    <row r="2" spans="2:4" x14ac:dyDescent="0.2">
      <c r="B2" s="86" t="s">
        <v>104</v>
      </c>
    </row>
    <row r="4" spans="2:4" x14ac:dyDescent="0.2">
      <c r="B4" s="86"/>
      <c r="C4" s="86"/>
      <c r="D4" s="86"/>
    </row>
    <row r="21" spans="2:2" x14ac:dyDescent="0.2">
      <c r="B21" s="2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927B-46B1-4CB3-A92F-ADB06338678C}">
  <sheetPr codeName="sh_var"/>
  <dimension ref="A1"/>
  <sheetViews>
    <sheetView workbookViewId="0"/>
  </sheetViews>
  <sheetFormatPr defaultRowHeight="12.75" x14ac:dyDescent="0.2"/>
  <sheetData>
    <row r="1" spans="1:1" x14ac:dyDescent="0.2">
      <c r="A1"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D7C26-3A0E-4629-831F-8BC8BBF6587D}">
  <sheetPr codeName="sh_h"/>
  <dimension ref="B2:E10"/>
  <sheetViews>
    <sheetView workbookViewId="0">
      <selection activeCell="C4" sqref="C4"/>
    </sheetView>
  </sheetViews>
  <sheetFormatPr defaultRowHeight="12.75" x14ac:dyDescent="0.2"/>
  <cols>
    <col min="2" max="2" width="32.5703125" customWidth="1"/>
    <col min="3" max="3" width="35.140625" customWidth="1"/>
    <col min="5" max="5" width="16.140625" bestFit="1" customWidth="1"/>
  </cols>
  <sheetData>
    <row r="2" spans="2:5" x14ac:dyDescent="0.2">
      <c r="B2" t="s">
        <v>35</v>
      </c>
      <c r="C2" t="e">
        <v>#N/A</v>
      </c>
      <c r="E2" t="str">
        <f>ledMode</f>
        <v>tb</v>
      </c>
    </row>
    <row r="4" spans="2:5" x14ac:dyDescent="0.2">
      <c r="B4" t="e" cm="1" vm="1">
        <f t="array" ref="B4">_xlfn._xlws.FILTER(tbCoa[Code],IF($B$2="*all",TRUE,tbCoa[Status]=$B$2))</f>
        <v>#VALUE!</v>
      </c>
      <c r="C4" t="str" cm="1">
        <f t="array" ref="C4">IFERROR(_xlfn._xlws.FILTER(tbCos[Code],tbCos[Number]=$C$2),"")</f>
        <v/>
      </c>
      <c r="E4" cm="1">
        <f t="array" ref="E4:E10">IF(E2="tb",_coa,_xlfn._xlws.FILTER(tbCos[Code],tbCos[Group]=E2))</f>
        <v>0</v>
      </c>
    </row>
    <row r="5" spans="2:5" x14ac:dyDescent="0.2">
      <c r="E5">
        <v>0</v>
      </c>
    </row>
    <row r="6" spans="2:5" x14ac:dyDescent="0.2">
      <c r="E6">
        <v>0</v>
      </c>
    </row>
    <row r="7" spans="2:5" x14ac:dyDescent="0.2">
      <c r="E7">
        <v>0</v>
      </c>
    </row>
    <row r="8" spans="2:5" x14ac:dyDescent="0.2">
      <c r="E8">
        <v>0</v>
      </c>
    </row>
    <row r="9" spans="2:5" x14ac:dyDescent="0.2">
      <c r="E9">
        <v>0</v>
      </c>
    </row>
    <row r="10" spans="2:5" x14ac:dyDescent="0.2">
      <c r="E10">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A1749-91D5-45B8-A918-BA8E6A39ACE2}">
  <sheetPr codeName="sh_sys"/>
  <dimension ref="A1:E5"/>
  <sheetViews>
    <sheetView workbookViewId="0">
      <selection activeCell="P31" sqref="P31"/>
    </sheetView>
  </sheetViews>
  <sheetFormatPr defaultRowHeight="12.75" x14ac:dyDescent="0.2"/>
  <cols>
    <col min="1" max="1" width="18" bestFit="1" customWidth="1"/>
    <col min="2" max="2" width="13.5703125" bestFit="1" customWidth="1"/>
    <col min="3" max="3" width="13" bestFit="1" customWidth="1"/>
    <col min="4" max="4" width="12" bestFit="1" customWidth="1"/>
    <col min="5" max="5" width="10.28515625" bestFit="1" customWidth="1"/>
  </cols>
  <sheetData>
    <row r="1" spans="1:5" x14ac:dyDescent="0.2">
      <c r="A1" t="s">
        <v>16</v>
      </c>
      <c r="B1" t="str" cm="1">
        <f t="array" aca="1" ref="B1" ca="1">LEFT(CELL("filename"),SEARCH("[",CELL("filename"))-1)</f>
        <v>C:\Users\cheri\Documents\GDrive\ocac\demo\</v>
      </c>
    </row>
    <row r="4" spans="1:5" x14ac:dyDescent="0.2">
      <c r="A4" t="s">
        <v>18</v>
      </c>
      <c r="B4" t="s">
        <v>19</v>
      </c>
      <c r="C4" t="s">
        <v>20</v>
      </c>
      <c r="D4" t="s">
        <v>21</v>
      </c>
      <c r="E4" t="s">
        <v>71</v>
      </c>
    </row>
    <row r="5" spans="1:5" x14ac:dyDescent="0.2">
      <c r="A5" t="s">
        <v>91</v>
      </c>
      <c r="B5" t="s">
        <v>68</v>
      </c>
      <c r="C5" s="27">
        <v>45870</v>
      </c>
      <c r="D5" s="27">
        <v>45930</v>
      </c>
    </row>
  </sheetData>
  <pageMargins left="0.7" right="0.7" top="0.75" bottom="0.75" header="0.3" footer="0.3"/>
  <tableParts count="5">
    <tablePart r:id="rId1"/>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F55A688-9FFC-471F-BA80-8D079F3F99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cfg</vt:lpstr>
      <vt:lpstr>bch</vt:lpstr>
      <vt:lpstr>coa</vt:lpstr>
      <vt:lpstr>gj</vt:lpstr>
      <vt:lpstr>cos</vt:lpstr>
      <vt:lpstr>notes</vt:lpstr>
      <vt:lpstr>_batch</vt:lpstr>
      <vt:lpstr>_coa</vt:lpstr>
      <vt:lpstr>_cos</vt:lpstr>
      <vt:lpstr>_currentPath</vt:lpstr>
      <vt:lpstr>_tbEndDate</vt:lpstr>
      <vt:lpstr>_tbStartDate</vt:lpstr>
      <vt:lpstr>begBal</vt:lpstr>
      <vt:lpstr>cfgActive</vt:lpstr>
      <vt:lpstr>cfgAppId</vt:lpstr>
      <vt:lpstr>cfgGJColWidth</vt:lpstr>
      <vt:lpstr>cfgMaster</vt:lpstr>
      <vt:lpstr>cfgMessage</vt:lpstr>
      <vt:lpstr>cfgServer</vt:lpstr>
      <vt:lpstr>cfgStatus</vt:lpstr>
      <vt:lpstr>ledCode</vt:lpstr>
      <vt:lpstr>ledEndDate</vt:lpstr>
      <vt:lpstr>ledMode</vt:lpstr>
      <vt:lpstr>ledStartDate</vt:lpstr>
      <vt:lpstr>led!Print_Titles</vt:lpstr>
      <vt:lpstr>varLicenseStatus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OcingAccounting</dc:title>
  <dc:creator>Cheries</dc:creator>
  <cp:lastModifiedBy>Cheries M</cp:lastModifiedBy>
  <cp:lastPrinted>2025-07-24T09:43:14Z</cp:lastPrinted>
  <dcterms:created xsi:type="dcterms:W3CDTF">2025-05-22T05:07:24Z</dcterms:created>
  <dcterms:modified xsi:type="dcterms:W3CDTF">2025-11-10T18:58:10Z</dcterms:modified>
</cp:coreProperties>
</file>